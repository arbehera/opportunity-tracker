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ioneerone-my.sharepoint.com/personal/aniket_kulkarni_sk_pioneer-global_com/Documents/Documents/General/1-1 with Leadership/"/>
    </mc:Choice>
  </mc:AlternateContent>
  <xr:revisionPtr revIDLastSave="69" documentId="8_{D6BBD465-2A22-42A0-A644-39243E40A573}" xr6:coauthVersionLast="47" xr6:coauthVersionMax="47" xr10:uidLastSave="{18F8C5A2-1448-4BA7-9AE5-BBA639EF0148}"/>
  <bookViews>
    <workbookView xWindow="-110" yWindow="-110" windowWidth="19420" windowHeight="10300" tabRatio="765" activeTab="2" xr2:uid="{5DF3F6BD-2DF1-4661-B7BD-9076C70196D6}"/>
  </bookViews>
  <sheets>
    <sheet name="Drop down menu" sheetId="2" r:id="rId1"/>
    <sheet name="Opportunity stage" sheetId="15" state="hidden" r:id="rId2"/>
    <sheet name="OE Opportunities" sheetId="14" r:id="rId3"/>
    <sheet name="Category wise" sheetId="16" r:id="rId4"/>
    <sheet name="Subcategory wise" sheetId="17" r:id="rId5"/>
    <sheet name="Confidence level" sheetId="18" r:id="rId6"/>
    <sheet name="BU wise" sheetId="19" r:id="rId7"/>
    <sheet name="Stage wise" sheetId="20" r:id="rId8"/>
    <sheet name="Customer wise" sheetId="21" r:id="rId9"/>
    <sheet name="Team members" sheetId="22" r:id="rId10"/>
    <sheet name="Opportunity count" sheetId="23" r:id="rId11"/>
    <sheet name="Customer wise (2)" sheetId="25" r:id="rId12"/>
    <sheet name="Subcategory wise (2)" sheetId="26" r:id="rId13"/>
  </sheets>
  <definedNames>
    <definedName name="_xlnm._FilterDatabase" localSheetId="0" hidden="1">'Drop down menu'!#REF!</definedName>
    <definedName name="_xlnm._FilterDatabase" localSheetId="2" hidden="1">'OE Opportunities'!$A$3:$V$103</definedName>
  </definedNames>
  <calcPr calcId="191028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4" l="1"/>
  <c r="K54" i="14"/>
  <c r="L54" i="14"/>
  <c r="M54" i="14"/>
  <c r="R54" i="14"/>
  <c r="S54" i="14" s="1"/>
  <c r="P20" i="14" l="1"/>
  <c r="P37" i="14"/>
  <c r="P52" i="14"/>
  <c r="R18" i="14"/>
  <c r="S18" i="14" s="1"/>
  <c r="P45" i="14"/>
  <c r="P40" i="14"/>
  <c r="P38" i="14"/>
  <c r="P36" i="14"/>
  <c r="R33" i="14"/>
  <c r="S33" i="14" s="1"/>
  <c r="R29" i="14"/>
  <c r="S29" i="14" s="1"/>
  <c r="R8" i="14"/>
  <c r="S8" i="14" s="1"/>
  <c r="R21" i="14"/>
  <c r="P7" i="14" l="1"/>
  <c r="P6" i="14"/>
  <c r="Q7" i="14"/>
  <c r="P24" i="14"/>
  <c r="P21" i="14"/>
  <c r="P15" i="14"/>
  <c r="P16" i="14"/>
  <c r="P17" i="14"/>
  <c r="R102" i="14" l="1"/>
  <c r="S102" i="14" s="1"/>
  <c r="K5" i="14"/>
  <c r="L5" i="14"/>
  <c r="M5" i="14"/>
  <c r="K6" i="14"/>
  <c r="L6" i="14"/>
  <c r="M6" i="14"/>
  <c r="K7" i="14"/>
  <c r="L7" i="14"/>
  <c r="M7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K14" i="14"/>
  <c r="L14" i="14"/>
  <c r="M14" i="14"/>
  <c r="K15" i="14"/>
  <c r="L15" i="14"/>
  <c r="K16" i="14"/>
  <c r="L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K21" i="14"/>
  <c r="L21" i="14"/>
  <c r="M21" i="14"/>
  <c r="K22" i="14"/>
  <c r="L22" i="14"/>
  <c r="M22" i="14"/>
  <c r="K23" i="14"/>
  <c r="L23" i="14"/>
  <c r="M23" i="14"/>
  <c r="K24" i="14"/>
  <c r="L24" i="14"/>
  <c r="M24" i="14"/>
  <c r="K25" i="14"/>
  <c r="L25" i="14"/>
  <c r="M25" i="14"/>
  <c r="K26" i="14"/>
  <c r="L26" i="14"/>
  <c r="M26" i="14"/>
  <c r="K27" i="14"/>
  <c r="L27" i="14"/>
  <c r="M27" i="14"/>
  <c r="K28" i="14"/>
  <c r="L28" i="14"/>
  <c r="M28" i="14"/>
  <c r="K30" i="14"/>
  <c r="L30" i="14"/>
  <c r="M30" i="14"/>
  <c r="K31" i="14"/>
  <c r="L31" i="14"/>
  <c r="M31" i="14"/>
  <c r="K32" i="14"/>
  <c r="L32" i="14"/>
  <c r="M32" i="14"/>
  <c r="K34" i="14"/>
  <c r="L34" i="14"/>
  <c r="M34" i="14"/>
  <c r="K35" i="14"/>
  <c r="L35" i="14"/>
  <c r="M35" i="14"/>
  <c r="K36" i="14"/>
  <c r="L36" i="14"/>
  <c r="M36" i="14"/>
  <c r="K37" i="14"/>
  <c r="L37" i="14"/>
  <c r="M37" i="14"/>
  <c r="K38" i="14"/>
  <c r="L38" i="14"/>
  <c r="M38" i="14"/>
  <c r="K39" i="14"/>
  <c r="L39" i="14"/>
  <c r="M39" i="14"/>
  <c r="K40" i="14"/>
  <c r="L40" i="14"/>
  <c r="M40" i="14"/>
  <c r="K41" i="14"/>
  <c r="L41" i="14"/>
  <c r="M41" i="14"/>
  <c r="K42" i="14"/>
  <c r="L42" i="14"/>
  <c r="M42" i="14"/>
  <c r="K43" i="14"/>
  <c r="L43" i="14"/>
  <c r="M43" i="14"/>
  <c r="K44" i="14"/>
  <c r="L44" i="14"/>
  <c r="M44" i="14"/>
  <c r="K45" i="14"/>
  <c r="L45" i="14"/>
  <c r="M45" i="14"/>
  <c r="K46" i="14"/>
  <c r="L46" i="14"/>
  <c r="M46" i="14"/>
  <c r="K47" i="14"/>
  <c r="L47" i="14"/>
  <c r="M47" i="14"/>
  <c r="K48" i="14"/>
  <c r="L48" i="14"/>
  <c r="M48" i="14"/>
  <c r="K49" i="14"/>
  <c r="L49" i="14"/>
  <c r="M49" i="14"/>
  <c r="K50" i="14"/>
  <c r="L50" i="14"/>
  <c r="M50" i="14"/>
  <c r="K51" i="14"/>
  <c r="L51" i="14"/>
  <c r="M51" i="14"/>
  <c r="K52" i="14"/>
  <c r="L52" i="14"/>
  <c r="M52" i="14"/>
  <c r="K53" i="14"/>
  <c r="L53" i="14"/>
  <c r="M53" i="14"/>
  <c r="K55" i="14"/>
  <c r="L55" i="14"/>
  <c r="M55" i="14"/>
  <c r="K56" i="14"/>
  <c r="L56" i="14"/>
  <c r="M56" i="14"/>
  <c r="K57" i="14"/>
  <c r="L57" i="14"/>
  <c r="M57" i="14"/>
  <c r="K58" i="14"/>
  <c r="L58" i="14"/>
  <c r="M58" i="14"/>
  <c r="K59" i="14"/>
  <c r="L59" i="14"/>
  <c r="M59" i="14"/>
  <c r="K60" i="14"/>
  <c r="L60" i="14"/>
  <c r="M60" i="14"/>
  <c r="K61" i="14"/>
  <c r="L61" i="14"/>
  <c r="M61" i="14"/>
  <c r="K62" i="14"/>
  <c r="L62" i="14"/>
  <c r="M62" i="14"/>
  <c r="K63" i="14"/>
  <c r="L63" i="14"/>
  <c r="M63" i="14"/>
  <c r="K64" i="14"/>
  <c r="L64" i="14"/>
  <c r="M64" i="14"/>
  <c r="K65" i="14"/>
  <c r="L65" i="14"/>
  <c r="M65" i="14"/>
  <c r="K66" i="14"/>
  <c r="L66" i="14"/>
  <c r="M66" i="14"/>
  <c r="K67" i="14"/>
  <c r="L67" i="14"/>
  <c r="M67" i="14"/>
  <c r="K68" i="14"/>
  <c r="L68" i="14"/>
  <c r="M68" i="14"/>
  <c r="K69" i="14"/>
  <c r="L69" i="14"/>
  <c r="M69" i="14"/>
  <c r="K70" i="14"/>
  <c r="L70" i="14"/>
  <c r="M70" i="14"/>
  <c r="K71" i="14"/>
  <c r="L71" i="14"/>
  <c r="M71" i="14"/>
  <c r="K72" i="14"/>
  <c r="L72" i="14"/>
  <c r="M72" i="14"/>
  <c r="K73" i="14"/>
  <c r="L73" i="14"/>
  <c r="M73" i="14"/>
  <c r="K74" i="14"/>
  <c r="L74" i="14"/>
  <c r="M74" i="14"/>
  <c r="K75" i="14"/>
  <c r="L75" i="14"/>
  <c r="M75" i="14"/>
  <c r="K76" i="14"/>
  <c r="L76" i="14"/>
  <c r="M76" i="14"/>
  <c r="K77" i="14"/>
  <c r="L77" i="14"/>
  <c r="M77" i="14"/>
  <c r="K78" i="14"/>
  <c r="L78" i="14"/>
  <c r="M78" i="14"/>
  <c r="K79" i="14"/>
  <c r="L79" i="14"/>
  <c r="M79" i="14"/>
  <c r="K80" i="14"/>
  <c r="L80" i="14"/>
  <c r="M80" i="14"/>
  <c r="K81" i="14"/>
  <c r="L81" i="14"/>
  <c r="M81" i="14"/>
  <c r="K82" i="14"/>
  <c r="L82" i="14"/>
  <c r="M82" i="14"/>
  <c r="K83" i="14"/>
  <c r="L83" i="14"/>
  <c r="M83" i="14"/>
  <c r="K84" i="14"/>
  <c r="L84" i="14"/>
  <c r="M84" i="14"/>
  <c r="K85" i="14"/>
  <c r="L85" i="14"/>
  <c r="M85" i="14"/>
  <c r="K86" i="14"/>
  <c r="L86" i="14"/>
  <c r="M86" i="14"/>
  <c r="K87" i="14"/>
  <c r="L87" i="14"/>
  <c r="M87" i="14"/>
  <c r="K88" i="14"/>
  <c r="L88" i="14"/>
  <c r="M88" i="14"/>
  <c r="K89" i="14"/>
  <c r="L89" i="14"/>
  <c r="M89" i="14"/>
  <c r="K90" i="14"/>
  <c r="L90" i="14"/>
  <c r="M90" i="14"/>
  <c r="K91" i="14"/>
  <c r="L91" i="14"/>
  <c r="M91" i="14"/>
  <c r="K92" i="14"/>
  <c r="L92" i="14"/>
  <c r="M92" i="14"/>
  <c r="K93" i="14"/>
  <c r="L93" i="14"/>
  <c r="M93" i="14"/>
  <c r="K94" i="14"/>
  <c r="L94" i="14"/>
  <c r="M94" i="14"/>
  <c r="K95" i="14"/>
  <c r="L95" i="14"/>
  <c r="M95" i="14"/>
  <c r="K96" i="14"/>
  <c r="L96" i="14"/>
  <c r="M96" i="14"/>
  <c r="K97" i="14"/>
  <c r="L97" i="14"/>
  <c r="M97" i="14"/>
  <c r="K98" i="14"/>
  <c r="L98" i="14"/>
  <c r="M98" i="14"/>
  <c r="K99" i="14"/>
  <c r="L99" i="14"/>
  <c r="M99" i="14"/>
  <c r="K100" i="14"/>
  <c r="L100" i="14"/>
  <c r="M100" i="14"/>
  <c r="K101" i="14"/>
  <c r="L101" i="14"/>
  <c r="M101" i="14"/>
  <c r="K102" i="14"/>
  <c r="L102" i="14"/>
  <c r="M102" i="14"/>
  <c r="K103" i="14"/>
  <c r="L103" i="14"/>
  <c r="M103" i="14"/>
  <c r="M4" i="14"/>
  <c r="L4" i="14"/>
  <c r="K4" i="14"/>
  <c r="R7" i="14"/>
  <c r="S7" i="14" s="1"/>
  <c r="R9" i="14"/>
  <c r="S9" i="14" s="1"/>
  <c r="R10" i="14"/>
  <c r="S10" i="14" s="1"/>
  <c r="R11" i="14"/>
  <c r="S11" i="14" s="1"/>
  <c r="R12" i="14"/>
  <c r="S12" i="14" s="1"/>
  <c r="R13" i="14"/>
  <c r="S13" i="14" s="1"/>
  <c r="R14" i="14"/>
  <c r="S14" i="14" s="1"/>
  <c r="R15" i="14"/>
  <c r="S15" i="14" s="1"/>
  <c r="R16" i="14"/>
  <c r="S16" i="14" s="1"/>
  <c r="R17" i="14"/>
  <c r="S17" i="14" s="1"/>
  <c r="R19" i="14"/>
  <c r="S19" i="14" s="1"/>
  <c r="R20" i="14"/>
  <c r="S20" i="14" s="1"/>
  <c r="S21" i="14"/>
  <c r="R22" i="14"/>
  <c r="S22" i="14" s="1"/>
  <c r="R23" i="14"/>
  <c r="S23" i="14" s="1"/>
  <c r="R24" i="14"/>
  <c r="S24" i="14" s="1"/>
  <c r="R25" i="14"/>
  <c r="S25" i="14" s="1"/>
  <c r="R26" i="14"/>
  <c r="S26" i="14" s="1"/>
  <c r="R27" i="14"/>
  <c r="S27" i="14" s="1"/>
  <c r="R28" i="14"/>
  <c r="S28" i="14" s="1"/>
  <c r="R30" i="14"/>
  <c r="S30" i="14" s="1"/>
  <c r="R31" i="14"/>
  <c r="S31" i="14" s="1"/>
  <c r="R32" i="14"/>
  <c r="S32" i="14" s="1"/>
  <c r="R34" i="14"/>
  <c r="S34" i="14" s="1"/>
  <c r="R35" i="14"/>
  <c r="S35" i="14" s="1"/>
  <c r="R36" i="14"/>
  <c r="S36" i="14" s="1"/>
  <c r="R37" i="14"/>
  <c r="S37" i="14" s="1"/>
  <c r="R38" i="14"/>
  <c r="S38" i="14" s="1"/>
  <c r="R39" i="14"/>
  <c r="S39" i="14" s="1"/>
  <c r="R40" i="14"/>
  <c r="S40" i="14" s="1"/>
  <c r="R41" i="14"/>
  <c r="S41" i="14" s="1"/>
  <c r="R42" i="14"/>
  <c r="S42" i="14" s="1"/>
  <c r="R43" i="14"/>
  <c r="S43" i="14" s="1"/>
  <c r="R44" i="14"/>
  <c r="S44" i="14" s="1"/>
  <c r="R45" i="14"/>
  <c r="S45" i="14" s="1"/>
  <c r="R46" i="14"/>
  <c r="S46" i="14" s="1"/>
  <c r="R47" i="14"/>
  <c r="S47" i="14" s="1"/>
  <c r="R48" i="14"/>
  <c r="S48" i="14" s="1"/>
  <c r="R49" i="14"/>
  <c r="S49" i="14" s="1"/>
  <c r="R50" i="14"/>
  <c r="S50" i="14" s="1"/>
  <c r="R51" i="14"/>
  <c r="S51" i="14" s="1"/>
  <c r="R52" i="14"/>
  <c r="S52" i="14" s="1"/>
  <c r="R53" i="14"/>
  <c r="S53" i="14" s="1"/>
  <c r="R55" i="14"/>
  <c r="S55" i="14" s="1"/>
  <c r="R56" i="14"/>
  <c r="S56" i="14" s="1"/>
  <c r="R57" i="14"/>
  <c r="S57" i="14" s="1"/>
  <c r="R58" i="14"/>
  <c r="S58" i="14" s="1"/>
  <c r="R59" i="14"/>
  <c r="S59" i="14" s="1"/>
  <c r="R60" i="14"/>
  <c r="S60" i="14" s="1"/>
  <c r="R61" i="14"/>
  <c r="S61" i="14" s="1"/>
  <c r="R62" i="14"/>
  <c r="S62" i="14" s="1"/>
  <c r="R63" i="14"/>
  <c r="S63" i="14" s="1"/>
  <c r="R64" i="14"/>
  <c r="S64" i="14" s="1"/>
  <c r="R65" i="14"/>
  <c r="S65" i="14" s="1"/>
  <c r="R66" i="14"/>
  <c r="S66" i="14" s="1"/>
  <c r="R67" i="14"/>
  <c r="S67" i="14" s="1"/>
  <c r="R68" i="14"/>
  <c r="S68" i="14" s="1"/>
  <c r="R69" i="14"/>
  <c r="S69" i="14" s="1"/>
  <c r="R70" i="14"/>
  <c r="S70" i="14" s="1"/>
  <c r="R71" i="14"/>
  <c r="S71" i="14" s="1"/>
  <c r="R72" i="14"/>
  <c r="S72" i="14" s="1"/>
  <c r="R73" i="14"/>
  <c r="S73" i="14" s="1"/>
  <c r="R74" i="14"/>
  <c r="S74" i="14" s="1"/>
  <c r="R75" i="14"/>
  <c r="S75" i="14" s="1"/>
  <c r="R76" i="14"/>
  <c r="S76" i="14" s="1"/>
  <c r="R77" i="14"/>
  <c r="S77" i="14" s="1"/>
  <c r="R78" i="14"/>
  <c r="S78" i="14" s="1"/>
  <c r="R79" i="14"/>
  <c r="S79" i="14" s="1"/>
  <c r="R80" i="14"/>
  <c r="S80" i="14" s="1"/>
  <c r="R81" i="14"/>
  <c r="S81" i="14" s="1"/>
  <c r="R82" i="14"/>
  <c r="S82" i="14" s="1"/>
  <c r="R83" i="14"/>
  <c r="S83" i="14" s="1"/>
  <c r="R84" i="14"/>
  <c r="S84" i="14" s="1"/>
  <c r="R85" i="14"/>
  <c r="S85" i="14" s="1"/>
  <c r="R86" i="14"/>
  <c r="S86" i="14" s="1"/>
  <c r="R87" i="14"/>
  <c r="S87" i="14" s="1"/>
  <c r="R88" i="14"/>
  <c r="S88" i="14" s="1"/>
  <c r="R89" i="14"/>
  <c r="S89" i="14" s="1"/>
  <c r="R90" i="14"/>
  <c r="S90" i="14" s="1"/>
  <c r="R91" i="14"/>
  <c r="S91" i="14" s="1"/>
  <c r="R92" i="14"/>
  <c r="S92" i="14" s="1"/>
  <c r="R93" i="14"/>
  <c r="S93" i="14" s="1"/>
  <c r="R94" i="14"/>
  <c r="S94" i="14" s="1"/>
  <c r="R95" i="14"/>
  <c r="S95" i="14" s="1"/>
  <c r="R96" i="14"/>
  <c r="S96" i="14" s="1"/>
  <c r="R97" i="14"/>
  <c r="S97" i="14" s="1"/>
  <c r="R98" i="14"/>
  <c r="S98" i="14" s="1"/>
  <c r="R99" i="14"/>
  <c r="S99" i="14" s="1"/>
  <c r="R100" i="14"/>
  <c r="S100" i="14" s="1"/>
  <c r="R101" i="14"/>
  <c r="S101" i="14" s="1"/>
  <c r="R103" i="14"/>
  <c r="S103" i="14" s="1"/>
  <c r="R5" i="14"/>
  <c r="S5" i="14" s="1"/>
  <c r="R6" i="14"/>
  <c r="S6" i="14" s="1"/>
  <c r="R4" i="14" l="1"/>
  <c r="S4" i="14" s="1"/>
</calcChain>
</file>

<file path=xl/sharedStrings.xml><?xml version="1.0" encoding="utf-8"?>
<sst xmlns="http://schemas.openxmlformats.org/spreadsheetml/2006/main" count="1016" uniqueCount="230">
  <si>
    <t>Dropdown menu</t>
  </si>
  <si>
    <t>Customer</t>
  </si>
  <si>
    <t>Product category</t>
  </si>
  <si>
    <t>Subcategory</t>
  </si>
  <si>
    <t>Business category</t>
  </si>
  <si>
    <t>Business unit</t>
  </si>
  <si>
    <t>Stage</t>
  </si>
  <si>
    <t>Closure</t>
  </si>
  <si>
    <t>Confidence level</t>
  </si>
  <si>
    <t>Sales</t>
  </si>
  <si>
    <t>Presales</t>
  </si>
  <si>
    <t>MSIL (4W)</t>
  </si>
  <si>
    <t xml:space="preserve">IVI </t>
  </si>
  <si>
    <t>DA</t>
  </si>
  <si>
    <t>Line-fit</t>
  </si>
  <si>
    <t>MPC</t>
  </si>
  <si>
    <t>A</t>
  </si>
  <si>
    <t>TBC</t>
  </si>
  <si>
    <t>High</t>
  </si>
  <si>
    <t>Ashish</t>
  </si>
  <si>
    <t>Rachit</t>
  </si>
  <si>
    <t>Hyundai / Kia (4W)</t>
  </si>
  <si>
    <t xml:space="preserve">Sound </t>
  </si>
  <si>
    <t>IVI</t>
  </si>
  <si>
    <t>End-of-Line</t>
  </si>
  <si>
    <t>MCC</t>
  </si>
  <si>
    <t>B</t>
  </si>
  <si>
    <t>Mid</t>
  </si>
  <si>
    <t>Gaurav</t>
  </si>
  <si>
    <t>Haseeb</t>
  </si>
  <si>
    <t>Tata PV (4W)</t>
  </si>
  <si>
    <t>Smartcam</t>
  </si>
  <si>
    <t>CDC</t>
  </si>
  <si>
    <t>DOP</t>
  </si>
  <si>
    <t>MAC</t>
  </si>
  <si>
    <t>C</t>
  </si>
  <si>
    <t>Low</t>
  </si>
  <si>
    <t>Parvez</t>
  </si>
  <si>
    <t>Mahindra (4W)</t>
  </si>
  <si>
    <t>Connectivity</t>
  </si>
  <si>
    <t>HPC</t>
  </si>
  <si>
    <t>POC - Paid</t>
  </si>
  <si>
    <t>MSC</t>
  </si>
  <si>
    <t>D</t>
  </si>
  <si>
    <t>Dropped</t>
  </si>
  <si>
    <t>KG/PA</t>
  </si>
  <si>
    <t>Honda (4W)</t>
  </si>
  <si>
    <t>Other MAC</t>
  </si>
  <si>
    <t>Spks.</t>
  </si>
  <si>
    <t>POC - Free</t>
  </si>
  <si>
    <t>E</t>
  </si>
  <si>
    <t>On hold</t>
  </si>
  <si>
    <t>MG Motor (4W)</t>
  </si>
  <si>
    <t>Amps.</t>
  </si>
  <si>
    <t>F</t>
  </si>
  <si>
    <t>Lost</t>
  </si>
  <si>
    <t>Toyota (4W)</t>
  </si>
  <si>
    <t>Spk + Amp</t>
  </si>
  <si>
    <t>SECURED</t>
  </si>
  <si>
    <t>Secured</t>
  </si>
  <si>
    <t>VW / Skoda (4W)</t>
  </si>
  <si>
    <t>Dashcam</t>
  </si>
  <si>
    <t>O (L)</t>
  </si>
  <si>
    <t>Stellantis (4W)</t>
  </si>
  <si>
    <t>Digital mirror</t>
  </si>
  <si>
    <t>O (H)</t>
  </si>
  <si>
    <t>Renault  (4W)</t>
  </si>
  <si>
    <t>360-deg. camera</t>
  </si>
  <si>
    <t>O (D)</t>
  </si>
  <si>
    <t>Audi (4W)</t>
  </si>
  <si>
    <t>Thermal camera</t>
  </si>
  <si>
    <t>Daimler (4W)</t>
  </si>
  <si>
    <t>Dongle</t>
  </si>
  <si>
    <t>Tata CV (CV)</t>
  </si>
  <si>
    <t>TCU</t>
  </si>
  <si>
    <t>Ashok Leyland (CV)</t>
  </si>
  <si>
    <t>WLC</t>
  </si>
  <si>
    <t>Eicher/Volvo (CV)</t>
  </si>
  <si>
    <t>USB port</t>
  </si>
  <si>
    <t>UD Trucks (CV)</t>
  </si>
  <si>
    <t>DMS</t>
  </si>
  <si>
    <t>Force Motors (CV)</t>
  </si>
  <si>
    <t>Cluster (2W)</t>
  </si>
  <si>
    <t>Switch Mobility (CV)</t>
  </si>
  <si>
    <t>RVC</t>
  </si>
  <si>
    <t>Hero Motocorp (2W)</t>
  </si>
  <si>
    <t>RVC with Display</t>
  </si>
  <si>
    <t>Bajaj (2W)</t>
  </si>
  <si>
    <t>TVS (2W)</t>
  </si>
  <si>
    <t>Royal Enfield (2W)</t>
  </si>
  <si>
    <t>Suzuki (2W)</t>
  </si>
  <si>
    <t>Ather (2W)</t>
  </si>
  <si>
    <t>VGT (4W)</t>
  </si>
  <si>
    <t>Hinduja Tech (4W)</t>
  </si>
  <si>
    <t>Daimler (CV)</t>
  </si>
  <si>
    <t>Isuzu (CV)</t>
  </si>
  <si>
    <t>Tech Mahindra (4W)</t>
  </si>
  <si>
    <t>Vinfast (4W)</t>
  </si>
  <si>
    <t>JCB (CV)</t>
  </si>
  <si>
    <t>Isuzu (PV)</t>
  </si>
  <si>
    <t>Peec Mobility (4W)</t>
  </si>
  <si>
    <t>Toyota Tadme (4W)</t>
  </si>
  <si>
    <t>Stellantis (3W)</t>
  </si>
  <si>
    <t>Nissan (4W)</t>
  </si>
  <si>
    <t>FIAT</t>
  </si>
  <si>
    <t>PACCAR</t>
  </si>
  <si>
    <t>Opportunity stages</t>
  </si>
  <si>
    <t>Deal 
stage</t>
  </si>
  <si>
    <t>Deal
classification</t>
  </si>
  <si>
    <t>Deal 
status</t>
  </si>
  <si>
    <t>Winning 
probability</t>
  </si>
  <si>
    <t>Before Lead</t>
  </si>
  <si>
    <t>Planning</t>
  </si>
  <si>
    <t>Lead Generation</t>
  </si>
  <si>
    <t>Lead</t>
  </si>
  <si>
    <t>Lead Qualification</t>
  </si>
  <si>
    <t>Supplier Qualification</t>
  </si>
  <si>
    <t>RFQ</t>
  </si>
  <si>
    <t>Opportunity</t>
  </si>
  <si>
    <t>Negotiation</t>
  </si>
  <si>
    <t>Win</t>
  </si>
  <si>
    <t>Closing</t>
  </si>
  <si>
    <t>Other</t>
  </si>
  <si>
    <t>Hold</t>
  </si>
  <si>
    <t>OE Opportunities</t>
  </si>
  <si>
    <t>Formula</t>
  </si>
  <si>
    <t>Contract</t>
  </si>
  <si>
    <t>Estimated</t>
  </si>
  <si>
    <t>Sr. no.</t>
  </si>
  <si>
    <t>Description</t>
  </si>
  <si>
    <t>Business Unit</t>
  </si>
  <si>
    <t>Product 
category</t>
  </si>
  <si>
    <t>Product
subcategory</t>
  </si>
  <si>
    <t>Business 
category</t>
  </si>
  <si>
    <t>PIN 
Sales</t>
  </si>
  <si>
    <t>PIN 
Presales</t>
  </si>
  <si>
    <t>Deal 
classification</t>
  </si>
  <si>
    <t>Estimated closure date</t>
  </si>
  <si>
    <t>Lifetime volume</t>
  </si>
  <si>
    <t>Unit price (INR)</t>
  </si>
  <si>
    <t>Unit price (USD)</t>
  </si>
  <si>
    <t>TCV 
(USD Mln.)</t>
  </si>
  <si>
    <t>Comments</t>
  </si>
  <si>
    <t>PMS</t>
  </si>
  <si>
    <t>Remarks</t>
  </si>
  <si>
    <t xml:space="preserve">   Royal Enfield</t>
  </si>
  <si>
    <t xml:space="preserve">Navigation Display unit </t>
  </si>
  <si>
    <t>N</t>
  </si>
  <si>
    <t>360-deg. camera solution (4-camera with 6" screen)</t>
  </si>
  <si>
    <t>ADAS is priority for AL at this stage, once the feature is rolled out then 360 feature will be explored</t>
  </si>
  <si>
    <t>360-deg. camera solution</t>
  </si>
  <si>
    <t>USB Charger (A-Type/C-Type) (15W, 45W, 65W)</t>
  </si>
  <si>
    <t>Branded Audio for U171 (Bolero Sports) - 10-spk</t>
  </si>
  <si>
    <t>Lost to Sony</t>
  </si>
  <si>
    <t>Branded Audio for Z115 (Scorpio N Refresh) - 12-spk</t>
  </si>
  <si>
    <t>Y</t>
  </si>
  <si>
    <t>Wirless Charger MPP Profile Qi 2.1</t>
  </si>
  <si>
    <t>RFQ received, TSO prpeparation in progress</t>
  </si>
  <si>
    <t>Branded Audio for D101 (Thar Sport) - 10-spk</t>
  </si>
  <si>
    <t>Entry DA</t>
  </si>
  <si>
    <t>Dashcam solutions</t>
  </si>
  <si>
    <t>Premium Sound (4+2)</t>
  </si>
  <si>
    <t>Premium Sound (4+2+1+1)</t>
  </si>
  <si>
    <t>Roof speaker</t>
  </si>
  <si>
    <t>12.3" IVI</t>
  </si>
  <si>
    <t>IVI awarded to Visteon</t>
  </si>
  <si>
    <t>Renault’s expectations included execution of at least one prior vehicle fitment program by Pioneer, and the SOP timeline of 2026 also contributed to their decision</t>
  </si>
  <si>
    <t>6.5" Commodity speaker - SWEET platform</t>
  </si>
  <si>
    <t>4.5" Commodity speaker - Kwid</t>
  </si>
  <si>
    <t>6.5" Commodity speaker - Kiger, Triber</t>
  </si>
  <si>
    <t>12.3" CDC</t>
  </si>
  <si>
    <t>Awaiting direction from Nissan for RFQ</t>
  </si>
  <si>
    <t>6.5" speaker (Export market)</t>
  </si>
  <si>
    <t>360 Camera</t>
  </si>
  <si>
    <t>Infotainment</t>
  </si>
  <si>
    <t>Tata is not ready to handle MAP Topic, 
Due to its complexity and less volume Pioneer dropped this Project</t>
  </si>
  <si>
    <t>Lost to (Novus Hi-Tech).</t>
  </si>
  <si>
    <t>Hyundai</t>
  </si>
  <si>
    <t>We were not getting desired volume, Meantime Price of 360 degree increase due to technology shift from single chanel to dual chanel.</t>
  </si>
  <si>
    <t>Dashcam (520DC)</t>
  </si>
  <si>
    <t>Less intrest from SAVW side.</t>
  </si>
  <si>
    <t>VECV Was looking for engineering service and IVI development they wanted to develop with another source.</t>
  </si>
  <si>
    <t>Dropped by Pioneer.</t>
  </si>
  <si>
    <t>RFQ Received, Commercial offer submitted.
SAVW expectation is 12000 Against our Quote of 14500 INR</t>
  </si>
  <si>
    <t>AFT product base proposed</t>
  </si>
  <si>
    <t>Tweeter</t>
  </si>
  <si>
    <t>RVC+Display</t>
  </si>
  <si>
    <t>Speaker</t>
  </si>
  <si>
    <t>1 DIN</t>
  </si>
  <si>
    <t>Intial level technical proposal submitted,follow up meeting planned in Jan 26.</t>
  </si>
  <si>
    <t>(Multiple Items)</t>
  </si>
  <si>
    <t>Sum of TCV 
(USD Mln.)</t>
  </si>
  <si>
    <t>Column Labels</t>
  </si>
  <si>
    <t>Row Labels</t>
  </si>
  <si>
    <t>Grand Total</t>
  </si>
  <si>
    <t>Count of Description</t>
  </si>
  <si>
    <t>Ashok Leyland (CV) - Truck</t>
  </si>
  <si>
    <t>Ashok Leyland (CV) - Bus</t>
  </si>
  <si>
    <t>Connected 360-deg. camera + 7" display</t>
  </si>
  <si>
    <t>RVC + 7" display</t>
  </si>
  <si>
    <t>Swaraj Mazda</t>
  </si>
  <si>
    <t>RFQ received (28-Dec-2025)</t>
  </si>
  <si>
    <t>On hold due to bandwidth issue.</t>
  </si>
  <si>
    <t>On-hold from Honda</t>
  </si>
  <si>
    <t>Honda will release RFQ after vendor-code-creation</t>
  </si>
  <si>
    <t>Lost to Harman</t>
  </si>
  <si>
    <t>RFQ received. Proposal to be submitted.</t>
  </si>
  <si>
    <t>Wirless Charger MPP Profile Qi 2.2</t>
  </si>
  <si>
    <t>Discussion in progress with Stellantis Engg. team</t>
  </si>
  <si>
    <t>Conditional nomination received. Test reports pending.</t>
  </si>
  <si>
    <t>RFQ received. TSO submitted. Negotiations in progress.</t>
  </si>
  <si>
    <t>Lost to Sony.</t>
  </si>
  <si>
    <t>USB Port - Type A/C (60W + 20W)</t>
  </si>
  <si>
    <t>Awaiting RFQ from M&amp;M</t>
  </si>
  <si>
    <t>IRVM - with DVR</t>
  </si>
  <si>
    <t>IRVM - without DVR</t>
  </si>
  <si>
    <t>TSO signed. Commercial negotiations to begin soon.</t>
  </si>
  <si>
    <t>IRVM with 2-camera (for Bolero pickup)</t>
  </si>
  <si>
    <t>POC planned on 30-Jan-2026</t>
  </si>
  <si>
    <t>Awaiting RFQ from Nissan</t>
  </si>
  <si>
    <t>Wireless Charger Qi2.2</t>
  </si>
  <si>
    <t>Technical proposal under preparation</t>
  </si>
  <si>
    <t xml:space="preserve">1" Tweeter - Special Edition Kiger/Triber </t>
  </si>
  <si>
    <t xml:space="preserve">6.5" speaker - Special Edition Kiger/Triber </t>
  </si>
  <si>
    <t>No response from Stellantis</t>
  </si>
  <si>
    <t>Awaiting RFQ from Stellantis</t>
  </si>
  <si>
    <t>LVDS camera (part of 360-deg, without ECU)</t>
  </si>
  <si>
    <t>TSO under discussion</t>
  </si>
  <si>
    <t>W616 (XUV 7XO) - Booster amp + Center &amp;/or Roof</t>
  </si>
  <si>
    <t>RFI received. Response to be submitted.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</si>
</sst>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Segoe UI Semilight"/>
      <family val="2"/>
    </font>
    <font>
      <u/>
      <sz val="12"/>
      <color theme="1"/>
      <name val="Segoe UI Semilight"/>
      <family val="2"/>
    </font>
    <font>
      <sz val="9"/>
      <color theme="1"/>
      <name val="Segoe UI Semilight"/>
      <family val="2"/>
    </font>
    <font>
      <i/>
      <sz val="10"/>
      <color rgb="FFC00000"/>
      <name val="Segoe UI Semilight"/>
      <family val="2"/>
    </font>
    <font>
      <sz val="10"/>
      <color rgb="FF000000"/>
      <name val="Segoe UI Semilight"/>
      <family val="2"/>
    </font>
    <font>
      <sz val="9"/>
      <color rgb="FF000000"/>
      <name val="Segoe UI Semilight"/>
      <family val="2"/>
    </font>
    <font>
      <sz val="10"/>
      <color theme="1"/>
      <name val="Segoe UI Semilight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9" fontId="3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 applyProtection="1">
      <alignment vertical="center"/>
    </xf>
    <xf numFmtId="164" fontId="3" fillId="3" borderId="1" xfId="1" applyNumberFormat="1" applyFont="1" applyFill="1" applyBorder="1" applyAlignment="1" applyProtection="1">
      <alignment horizontal="center" vertical="center"/>
    </xf>
    <xf numFmtId="9" fontId="3" fillId="0" borderId="1" xfId="2" applyFont="1" applyBorder="1" applyAlignment="1" applyProtection="1">
      <alignment horizontal="center" vertical="center"/>
    </xf>
    <xf numFmtId="165" fontId="3" fillId="0" borderId="1" xfId="1" applyNumberFormat="1" applyFont="1" applyBorder="1" applyAlignment="1" applyProtection="1">
      <alignment horizontal="center" vertical="center"/>
    </xf>
    <xf numFmtId="165" fontId="3" fillId="0" borderId="1" xfId="1" applyNumberFormat="1" applyFont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left" wrapText="1" inden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9" fontId="3" fillId="0" borderId="2" xfId="0" applyNumberFormat="1" applyFont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9" fontId="3" fillId="3" borderId="2" xfId="2" applyFont="1" applyFill="1" applyBorder="1" applyAlignment="1" applyProtection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9" fontId="3" fillId="0" borderId="2" xfId="2" applyFont="1" applyBorder="1" applyAlignment="1" applyProtection="1">
      <alignment horizontal="center" vertical="center"/>
    </xf>
    <xf numFmtId="165" fontId="3" fillId="0" borderId="2" xfId="1" applyNumberFormat="1" applyFont="1" applyBorder="1" applyAlignment="1" applyProtection="1">
      <alignment vertical="center"/>
    </xf>
    <xf numFmtId="164" fontId="3" fillId="3" borderId="2" xfId="1" applyNumberFormat="1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9" fontId="3" fillId="0" borderId="3" xfId="0" applyNumberFormat="1" applyFont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9" fontId="3" fillId="3" borderId="3" xfId="2" applyFont="1" applyFill="1" applyBorder="1" applyAlignment="1" applyProtection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3" fillId="0" borderId="3" xfId="1" applyNumberFormat="1" applyFont="1" applyBorder="1" applyAlignment="1" applyProtection="1">
      <alignment vertical="center"/>
    </xf>
    <xf numFmtId="164" fontId="3" fillId="3" borderId="3" xfId="1" applyNumberFormat="1" applyFont="1" applyFill="1" applyBorder="1" applyAlignment="1" applyProtection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9" fontId="3" fillId="0" borderId="4" xfId="0" applyNumberFormat="1" applyFont="1" applyBorder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/>
    </xf>
    <xf numFmtId="9" fontId="3" fillId="3" borderId="4" xfId="2" applyFont="1" applyFill="1" applyBorder="1" applyAlignment="1" applyProtection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9" fontId="3" fillId="0" borderId="4" xfId="2" applyFont="1" applyBorder="1" applyAlignment="1" applyProtection="1">
      <alignment horizontal="center" vertical="center"/>
    </xf>
    <xf numFmtId="165" fontId="3" fillId="0" borderId="4" xfId="1" applyNumberFormat="1" applyFont="1" applyBorder="1" applyAlignment="1" applyProtection="1">
      <alignment vertical="center"/>
    </xf>
    <xf numFmtId="164" fontId="3" fillId="3" borderId="4" xfId="1" applyNumberFormat="1" applyFont="1" applyFill="1" applyBorder="1" applyAlignment="1" applyProtection="1">
      <alignment horizontal="center" vertical="center"/>
    </xf>
    <xf numFmtId="0" fontId="3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 indent="1" readingOrder="1"/>
    </xf>
    <xf numFmtId="17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" fontId="3" fillId="5" borderId="3" xfId="0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 applyProtection="1">
      <alignment vertical="center"/>
    </xf>
    <xf numFmtId="17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9" fontId="3" fillId="0" borderId="5" xfId="0" applyNumberFormat="1" applyFont="1" applyBorder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/>
    </xf>
    <xf numFmtId="9" fontId="3" fillId="3" borderId="5" xfId="2" applyFont="1" applyFill="1" applyBorder="1" applyAlignment="1" applyProtection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9" fontId="3" fillId="0" borderId="5" xfId="2" applyFont="1" applyBorder="1" applyAlignment="1" applyProtection="1">
      <alignment horizontal="center" vertical="center"/>
    </xf>
    <xf numFmtId="165" fontId="3" fillId="0" borderId="5" xfId="1" applyNumberFormat="1" applyFont="1" applyFill="1" applyBorder="1" applyAlignment="1" applyProtection="1">
      <alignment vertical="center"/>
    </xf>
    <xf numFmtId="164" fontId="3" fillId="3" borderId="5" xfId="1" applyNumberFormat="1" applyFont="1" applyFill="1" applyBorder="1" applyAlignment="1" applyProtection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vertical="center"/>
    </xf>
    <xf numFmtId="165" fontId="3" fillId="0" borderId="6" xfId="1" applyNumberFormat="1" applyFont="1" applyBorder="1" applyAlignment="1" applyProtection="1">
      <alignment vertical="center"/>
    </xf>
    <xf numFmtId="0" fontId="3" fillId="0" borderId="7" xfId="0" applyFont="1" applyBorder="1" applyAlignment="1">
      <alignment horizontal="left" vertical="center" wrapText="1" indent="1"/>
    </xf>
    <xf numFmtId="0" fontId="9" fillId="0" borderId="1" xfId="0" pivotButton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pivotButton="1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indent="1"/>
    </xf>
    <xf numFmtId="164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164" fontId="9" fillId="4" borderId="1" xfId="0" applyNumberFormat="1" applyFont="1" applyFill="1" applyBorder="1" applyAlignment="1">
      <alignment vertical="center"/>
    </xf>
    <xf numFmtId="0" fontId="9" fillId="0" borderId="1" xfId="0" pivotButton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pivotButton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165" fontId="9" fillId="0" borderId="1" xfId="0" applyNumberFormat="1" applyFont="1" applyBorder="1" applyAlignment="1">
      <alignment vertical="center"/>
    </xf>
    <xf numFmtId="165" fontId="9" fillId="4" borderId="1" xfId="0" applyNumberFormat="1" applyFont="1" applyFill="1" applyBorder="1" applyAlignment="1">
      <alignment vertical="center"/>
    </xf>
    <xf numFmtId="164" fontId="9" fillId="6" borderId="1" xfId="0" applyNumberFormat="1" applyFont="1" applyFill="1" applyBorder="1" applyAlignment="1">
      <alignment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59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79998168889431442"/>
        </patternFill>
      </fill>
    </dxf>
    <dxf>
      <alignment horizontal="left" relativeIndent="1"/>
    </dxf>
    <dxf>
      <alignment horizontal="left" relativeIndent="1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relativeIndent="1"/>
    </dxf>
    <dxf>
      <alignment horizontal="center"/>
    </dxf>
    <dxf>
      <alignment wrapText="1"/>
    </dxf>
    <dxf>
      <alignment wrapText="1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numFmt numFmtId="165" formatCode="_ * #,##0_ ;_ * \-#,##0_ ;_ * &quot;-&quot;??_ ;_ @_ "/>
    </dxf>
    <dxf>
      <fill>
        <patternFill patternType="solid">
          <bgColor theme="5" tint="0.79998168889431442"/>
        </patternFill>
      </fill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relativeIndent="1"/>
    </dxf>
    <dxf>
      <alignment horizontal="center"/>
    </dxf>
    <dxf>
      <alignment wrapText="1"/>
    </dxf>
    <dxf>
      <alignment wrapText="1"/>
    </dxf>
    <dxf>
      <font>
        <b val="0"/>
      </font>
    </dxf>
    <dxf>
      <font>
        <b val="0"/>
      </font>
    </dxf>
    <dxf>
      <alignment horizontal="left" relativeInden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relativeIndent="1"/>
    </dxf>
    <dxf>
      <alignment horizontal="center"/>
    </dxf>
    <dxf>
      <alignment wrapText="1"/>
    </dxf>
    <dxf>
      <alignment wrapText="1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relativeIndent="1"/>
    </dxf>
    <dxf>
      <alignment horizontal="center"/>
    </dxf>
    <dxf>
      <alignment wrapText="1"/>
    </dxf>
    <dxf>
      <alignment wrapText="1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ill>
        <patternFill patternType="solid">
          <bgColor theme="5" tint="0.79998168889431442"/>
        </patternFill>
      </fill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relativeIndent="1"/>
    </dxf>
    <dxf>
      <alignment horizontal="center"/>
    </dxf>
    <dxf>
      <alignment wrapText="1"/>
    </dxf>
    <dxf>
      <alignment wrapText="1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ill>
        <patternFill patternType="solid">
          <bgColor theme="5" tint="0.79998168889431442"/>
        </patternFill>
      </fill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ill>
        <patternFill patternType="solid">
          <bgColor theme="5" tint="0.79998168889431442"/>
        </patternFill>
      </fill>
    </dxf>
    <dxf>
      <alignment relativeInden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relativeIndent="1"/>
    </dxf>
    <dxf>
      <alignment horizontal="left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ill>
        <patternFill>
          <bgColor theme="5" tint="0.79998168889431442"/>
        </patternFill>
      </fill>
    </dxf>
    <dxf>
      <alignment horizontal="left" relativeIndent="1"/>
    </dxf>
    <dxf>
      <alignment horizontal="general" indent="0"/>
    </dxf>
    <dxf>
      <alignment relativeIndent="-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  <dxf>
      <alignment wrapText="1"/>
    </dxf>
    <dxf>
      <alignment horizontal="left" relativeInden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alignment horizontal="center"/>
    </dxf>
    <dxf>
      <alignment horizontal="center"/>
    </dxf>
    <dxf>
      <alignment relativeIndent="1"/>
    </dxf>
    <dxf>
      <alignment relativeIndent="1"/>
    </dxf>
    <dxf>
      <alignment relativeIndent="1"/>
    </dxf>
    <dxf>
      <fill>
        <patternFill>
          <bgColor theme="5" tint="0.79998168889431442"/>
        </patternFill>
      </fill>
    </dxf>
    <dxf>
      <alignment horizontal="center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ont>
        <b val="0"/>
      </font>
    </dxf>
    <dxf>
      <font>
        <b val="0"/>
      </font>
    </dxf>
    <dxf>
      <alignment horizontal="left" relativeIndent="1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horizontal="left" relativeIndent="1"/>
    </dxf>
    <dxf>
      <alignment horizontal="left" relativeIndent="1"/>
    </dxf>
    <dxf>
      <alignment horizontal="left" relativeInden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  <dxf>
      <font>
        <name val="Segoe UI Semi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Kulkarni" refreshedDate="46044.476987037036" createdVersion="8" refreshedVersion="8" minRefreshableVersion="3" recordCount="100" xr:uid="{2399CF0B-6298-47BD-A810-33F71A12B66F}">
  <cacheSource type="worksheet">
    <worksheetSource ref="A3:T103" sheet="OE Opportunities"/>
  </cacheSource>
  <cacheFields count="20">
    <cacheField name="Sr. no." numFmtId="0">
      <sharedItems containsSemiMixedTypes="0" containsString="0" containsNumber="1" containsInteger="1" minValue="1" maxValue="100"/>
    </cacheField>
    <cacheField name="Customer" numFmtId="0">
      <sharedItems containsBlank="1" count="20">
        <s v="   Royal Enfield"/>
        <s v="Ashok Leyland (CV)"/>
        <s v="Honda (4W)"/>
        <s v="Mahindra (4W)"/>
        <s v="MSIL (4W)"/>
        <s v="Renault  (4W)"/>
        <s v="Nissan (4W)"/>
        <s v="Stellantis (4W)"/>
        <s v="FIAT"/>
        <s v="Tata CV (CV)"/>
        <s v="Hyundai"/>
        <s v="VW / Skoda (4W)"/>
        <s v="Eicher/Volvo (CV)"/>
        <s v="Daimler (CV)"/>
        <s v="Force Motors (CV)"/>
        <s v="Tech Mahindra (4W)"/>
        <s v="Tata PV (4W)"/>
        <s v="Ashok Leyland (CV) - Bus"/>
        <s v="MG Motor (4W)"/>
        <m/>
      </sharedItems>
    </cacheField>
    <cacheField name="Description" numFmtId="0">
      <sharedItems containsBlank="1"/>
    </cacheField>
    <cacheField name="Business Unit" numFmtId="0">
      <sharedItems containsBlank="1" count="3">
        <s v="MAC"/>
        <s v="MPC"/>
        <m/>
      </sharedItems>
    </cacheField>
    <cacheField name="Product _x000a_category" numFmtId="0">
      <sharedItems containsBlank="1" count="16">
        <s v="Other MAC"/>
        <s v="Smartcam"/>
        <s v="Sound "/>
        <s v="IVI "/>
        <m/>
        <s v="Other MAC - Cluster (2W)" u="1"/>
        <s v="Smartcam - 360-deg. camera" u="1"/>
        <s v="Other MAC - USB port" u="1"/>
        <s v="Sound - Spk + Amp" u="1"/>
        <s v="Other MAC - WLC" u="1"/>
        <s v="Infotainment - DA" u="1"/>
        <s v="Smartcam - Dashcam" u="1"/>
        <s v="Sound - Speakers" u="1"/>
        <s v="Infotainment - IVI" u="1"/>
        <s v="Infotainment - CDC" u="1"/>
        <s v="Other MAC - DMS" u="1"/>
      </sharedItems>
    </cacheField>
    <cacheField name="Product_x000a_subcategory" numFmtId="0">
      <sharedItems containsBlank="1" count="15">
        <s v="Cluster (2W)"/>
        <s v="360-deg. camera"/>
        <s v="USB port"/>
        <s v="Spk + Amp"/>
        <s v="WLC"/>
        <s v="DA"/>
        <s v="Dashcam"/>
        <s v="Spks."/>
        <s v="IVI"/>
        <s v="CDC"/>
        <s v="DMS"/>
        <s v="Digital mirror"/>
        <s v="RVC with Display"/>
        <s v="RVC"/>
        <m/>
      </sharedItems>
    </cacheField>
    <cacheField name="Business _x000a_category" numFmtId="0">
      <sharedItems containsBlank="1"/>
    </cacheField>
    <cacheField name="PIN _x000a_Sales" numFmtId="0">
      <sharedItems containsBlank="1" count="5">
        <s v="Gaurav"/>
        <s v="Ashish"/>
        <s v="Parvez"/>
        <s v="KG/PA"/>
        <m/>
      </sharedItems>
    </cacheField>
    <cacheField name="PIN _x000a_Presales" numFmtId="0">
      <sharedItems containsBlank="1" count="3">
        <s v="Haseeb"/>
        <s v="Rachit"/>
        <m/>
      </sharedItems>
    </cacheField>
    <cacheField name="Deal _x000a_stage" numFmtId="0">
      <sharedItems containsBlank="1" count="11">
        <s v="O (H)"/>
        <s v="O (L)"/>
        <s v="E"/>
        <s v="B"/>
        <s v="D"/>
        <s v="C"/>
        <s v="O (D)"/>
        <s v="SECURED"/>
        <s v="A"/>
        <s v="F"/>
        <m/>
      </sharedItems>
    </cacheField>
    <cacheField name="Deal _x000a_classification" numFmtId="0">
      <sharedItems/>
    </cacheField>
    <cacheField name="Deal _x000a_status" numFmtId="0">
      <sharedItems/>
    </cacheField>
    <cacheField name="Winning _x000a_probability" numFmtId="9">
      <sharedItems containsMixedTypes="1" containsNumber="1" minValue="0" maxValue="1"/>
    </cacheField>
    <cacheField name="Estimated closure date" numFmtId="17">
      <sharedItems containsDate="1" containsBlank="1" containsMixedTypes="1" minDate="2025-09-01T00:00:00" maxDate="2027-03-02T00:00:00"/>
    </cacheField>
    <cacheField name="Confidence level" numFmtId="0">
      <sharedItems containsBlank="1" count="7">
        <s v="Low"/>
        <s v="Mid"/>
        <s v="Lost"/>
        <s v="High"/>
        <s v="Secured"/>
        <s v="Dropped"/>
        <m/>
      </sharedItems>
    </cacheField>
    <cacheField name="Lifetime volume" numFmtId="165">
      <sharedItems containsString="0" containsBlank="1" containsNumber="1" containsInteger="1" minValue="0" maxValue="1500000"/>
    </cacheField>
    <cacheField name="Unit price (INR)" numFmtId="165">
      <sharedItems containsString="0" containsBlank="1" containsNumber="1" containsInteger="1" minValue="0" maxValue="28000"/>
    </cacheField>
    <cacheField name="Unit price (USD)" numFmtId="164">
      <sharedItems containsSemiMixedTypes="0" containsString="0" containsNumber="1" minValue="0" maxValue="332.50207813798841"/>
    </cacheField>
    <cacheField name="TCV _x000a_(USD Mln.)" numFmtId="164">
      <sharedItems containsSemiMixedTypes="0" containsString="0" containsNumber="1" minValue="0" maxValue="211.13881961762263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Navigation Display unit "/>
    <x v="0"/>
    <x v="0"/>
    <x v="0"/>
    <s v="Line-fit"/>
    <x v="0"/>
    <x v="0"/>
    <x v="0"/>
    <s v="Hold"/>
    <s v="Other"/>
    <n v="0"/>
    <s v="TBC"/>
    <x v="0"/>
    <n v="900000"/>
    <n v="1200"/>
    <n v="14.250089063056645"/>
    <n v="12.82508015675098"/>
    <s v="On hold due to bandwidth issue."/>
  </r>
  <r>
    <n v="2"/>
    <x v="1"/>
    <s v="360-deg. camera solution (4-camera with 6&quot; screen)"/>
    <x v="0"/>
    <x v="1"/>
    <x v="1"/>
    <s v="POC - Paid"/>
    <x v="0"/>
    <x v="0"/>
    <x v="0"/>
    <s v="Hold"/>
    <s v="Other"/>
    <n v="0"/>
    <s v="TBC"/>
    <x v="0"/>
    <n v="1"/>
    <n v="22000"/>
    <n v="261.25163282270518"/>
    <n v="2.6125163282270515E-4"/>
    <s v="ADAS is priority for AL at this stage, once the feature is rolled out then 360 feature will be explored"/>
  </r>
  <r>
    <n v="3"/>
    <x v="2"/>
    <s v="360-deg. camera solution"/>
    <x v="0"/>
    <x v="1"/>
    <x v="1"/>
    <s v="Line-fit"/>
    <x v="1"/>
    <x v="1"/>
    <x v="0"/>
    <s v="Hold"/>
    <s v="Other"/>
    <n v="0"/>
    <s v="TBC"/>
    <x v="0"/>
    <n v="46800"/>
    <n v="13000"/>
    <n v="154.37596484978033"/>
    <n v="7.2247951549697191"/>
    <s v="On-hold from Honda"/>
  </r>
  <r>
    <n v="4"/>
    <x v="2"/>
    <s v="USB Charger (A-Type/C-Type) (15W, 45W, 65W)"/>
    <x v="0"/>
    <x v="0"/>
    <x v="2"/>
    <s v="Line-fit"/>
    <x v="1"/>
    <x v="1"/>
    <x v="0"/>
    <s v="Hold"/>
    <s v="Other"/>
    <n v="0"/>
    <s v="TBC"/>
    <x v="1"/>
    <n v="78000"/>
    <n v="2125"/>
    <n v="25.234532715829477"/>
    <n v="1.9682935518346993"/>
    <s v="Honda will release RFQ after vendor-code-creation"/>
  </r>
  <r>
    <n v="5"/>
    <x v="3"/>
    <s v="Branded Audio for U171 (Bolero Sports) - 10-spk"/>
    <x v="1"/>
    <x v="2"/>
    <x v="3"/>
    <s v="Line-fit"/>
    <x v="2"/>
    <x v="1"/>
    <x v="1"/>
    <s v="Lost"/>
    <s v="Lost"/>
    <s v="Lost"/>
    <d v="2025-09-01T00:00:00"/>
    <x v="2"/>
    <n v="120000"/>
    <n v="13000"/>
    <n v="154.37596484978033"/>
    <n v="18.525115781973643"/>
    <s v="Lost to Sony"/>
  </r>
  <r>
    <n v="6"/>
    <x v="3"/>
    <s v="Branded Audio for Z115 (Scorpio N Refresh) - 12-spk"/>
    <x v="1"/>
    <x v="2"/>
    <x v="3"/>
    <s v="Line-fit"/>
    <x v="2"/>
    <x v="1"/>
    <x v="1"/>
    <s v="Lost"/>
    <s v="Other"/>
    <n v="0"/>
    <d v="2025-12-01T00:00:00"/>
    <x v="2"/>
    <n v="439000"/>
    <n v="15000"/>
    <n v="178.12611328820807"/>
    <n v="78.197363733523332"/>
    <s v="Lost to Harman"/>
  </r>
  <r>
    <n v="7"/>
    <x v="3"/>
    <s v="Wirless Charger MPP Profile Qi 2.1"/>
    <x v="0"/>
    <x v="0"/>
    <x v="4"/>
    <s v="Line-fit"/>
    <x v="0"/>
    <x v="0"/>
    <x v="2"/>
    <s v="RFQ"/>
    <s v="Opportunity"/>
    <n v="0.5"/>
    <d v="2026-03-01T00:00:00"/>
    <x v="3"/>
    <n v="1000000"/>
    <n v="1900"/>
    <n v="22.562641016506355"/>
    <n v="22.562641016506355"/>
    <s v="RFQ received, TSO prpeparation in progress"/>
  </r>
  <r>
    <n v="8"/>
    <x v="3"/>
    <s v="Branded Audio for D101 (Thar Sport) - 10-spk"/>
    <x v="1"/>
    <x v="2"/>
    <x v="3"/>
    <s v="Line-fit"/>
    <x v="2"/>
    <x v="1"/>
    <x v="1"/>
    <s v="Lost"/>
    <s v="Other"/>
    <n v="0"/>
    <d v="2026-03-01T00:00:00"/>
    <x v="0"/>
    <n v="496056"/>
    <n v="13500"/>
    <n v="160.31350195938725"/>
    <n v="79.524474527965793"/>
    <s v="Lost to Sony."/>
  </r>
  <r>
    <n v="9"/>
    <x v="3"/>
    <s v="USB Port - Type A/C (60W + 20W)"/>
    <x v="0"/>
    <x v="0"/>
    <x v="2"/>
    <s v="Line-fit"/>
    <x v="0"/>
    <x v="0"/>
    <x v="3"/>
    <s v="Before Lead"/>
    <s v="Lead Generation"/>
    <n v="0.35"/>
    <d v="2026-09-01T00:00:00"/>
    <x v="0"/>
    <n v="208000"/>
    <n v="400"/>
    <n v="4.7500296876855481"/>
    <n v="0.988006175038594"/>
    <s v="Awaiting RFQ from M&amp;M"/>
  </r>
  <r>
    <n v="10"/>
    <x v="4"/>
    <s v="Entry DA"/>
    <x v="1"/>
    <x v="3"/>
    <x v="5"/>
    <s v="Line-fit"/>
    <x v="1"/>
    <x v="1"/>
    <x v="1"/>
    <s v="Lost"/>
    <s v="Other"/>
    <n v="0.2"/>
    <d v="2025-12-01T00:00:00"/>
    <x v="0"/>
    <n v="1200000"/>
    <n v="7500"/>
    <n v="89.063056644104037"/>
    <n v="106.87566797292484"/>
    <m/>
  </r>
  <r>
    <n v="11"/>
    <x v="4"/>
    <s v="Dashcam solutions"/>
    <x v="0"/>
    <x v="1"/>
    <x v="6"/>
    <s v="Line-fit"/>
    <x v="1"/>
    <x v="1"/>
    <x v="4"/>
    <s v="Lead"/>
    <s v="Supplier Qualification"/>
    <n v="0.5"/>
    <d v="2026-12-01T00:00:00"/>
    <x v="1"/>
    <n v="732000"/>
    <n v="4000"/>
    <n v="47.500296876855487"/>
    <n v="34.770217313858218"/>
    <m/>
  </r>
  <r>
    <n v="12"/>
    <x v="4"/>
    <s v="Premium Sound (4+2)"/>
    <x v="1"/>
    <x v="2"/>
    <x v="7"/>
    <s v="Line-fit"/>
    <x v="1"/>
    <x v="1"/>
    <x v="1"/>
    <s v="Lost"/>
    <s v="Other"/>
    <n v="0.25"/>
    <d v="2025-12-01T00:00:00"/>
    <x v="0"/>
    <n v="425000"/>
    <n v="2000"/>
    <n v="23.750148438427743"/>
    <n v="10.093813086331791"/>
    <m/>
  </r>
  <r>
    <n v="13"/>
    <x v="4"/>
    <s v="Premium Sound (4+2+1+1)"/>
    <x v="1"/>
    <x v="2"/>
    <x v="7"/>
    <s v="Line-fit"/>
    <x v="1"/>
    <x v="1"/>
    <x v="1"/>
    <s v="Lost"/>
    <s v="Other"/>
    <n v="0.25"/>
    <d v="2025-12-01T00:00:00"/>
    <x v="0"/>
    <n v="200000"/>
    <n v="4500"/>
    <n v="53.437833986462422"/>
    <n v="10.687566797292485"/>
    <m/>
  </r>
  <r>
    <n v="14"/>
    <x v="4"/>
    <s v="Roof speaker"/>
    <x v="1"/>
    <x v="2"/>
    <x v="7"/>
    <s v="Line-fit"/>
    <x v="1"/>
    <x v="1"/>
    <x v="1"/>
    <s v="Lost"/>
    <s v="Other"/>
    <n v="0"/>
    <d v="2026-03-01T00:00:00"/>
    <x v="0"/>
    <n v="250000"/>
    <n v="300"/>
    <n v="3.5625222657641613"/>
    <n v="0.89063056644104033"/>
    <m/>
  </r>
  <r>
    <n v="15"/>
    <x v="5"/>
    <s v="12.3&quot; IVI"/>
    <x v="1"/>
    <x v="3"/>
    <x v="8"/>
    <s v="Line-fit"/>
    <x v="0"/>
    <x v="0"/>
    <x v="1"/>
    <s v="Lost"/>
    <s v="Other"/>
    <n v="0"/>
    <d v="2026-03-01T00:00:00"/>
    <x v="0"/>
    <n v="100000"/>
    <n v="20000"/>
    <n v="237.50148438427743"/>
    <n v="23.750148438427743"/>
    <s v="IVI awarded to Visteon"/>
  </r>
  <r>
    <n v="16"/>
    <x v="5"/>
    <s v="360-deg. camera solution"/>
    <x v="0"/>
    <x v="1"/>
    <x v="1"/>
    <s v="Line-fit"/>
    <x v="0"/>
    <x v="0"/>
    <x v="1"/>
    <s v="Lost"/>
    <s v="Other"/>
    <n v="0"/>
    <d v="2026-03-01T00:00:00"/>
    <x v="0"/>
    <n v="150000"/>
    <n v="14350"/>
    <n v="170.40731504571906"/>
    <n v="25.561097256857856"/>
    <s v="Renault’s expectations included execution of at least one prior vehicle fitment program by Pioneer, and the SOP timeline of 2026 also contributed to their decision"/>
  </r>
  <r>
    <n v="17"/>
    <x v="5"/>
    <s v="Wireless Charger Qi2.2"/>
    <x v="0"/>
    <x v="0"/>
    <x v="4"/>
    <s v="Line-fit"/>
    <x v="0"/>
    <x v="0"/>
    <x v="2"/>
    <s v="RFQ"/>
    <s v="Opportunity"/>
    <n v="0.5"/>
    <d v="2026-12-01T00:00:00"/>
    <x v="0"/>
    <n v="400000"/>
    <n v="2200"/>
    <n v="26.125163282270517"/>
    <n v="10.450065312908206"/>
    <s v="Technical proposal under preparation"/>
  </r>
  <r>
    <n v="18"/>
    <x v="5"/>
    <s v="6.5&quot; Commodity speaker - SWEET platform"/>
    <x v="1"/>
    <x v="2"/>
    <x v="7"/>
    <s v="Line-fit"/>
    <x v="0"/>
    <x v="1"/>
    <x v="1"/>
    <s v="Lost"/>
    <s v="Other"/>
    <n v="0"/>
    <s v="Lost"/>
    <x v="0"/>
    <n v="600000"/>
    <n v="300"/>
    <n v="3.5625222657641613"/>
    <n v="2.137513359458497"/>
    <m/>
  </r>
  <r>
    <n v="19"/>
    <x v="5"/>
    <s v="4.5&quot; Commodity speaker - Kwid"/>
    <x v="1"/>
    <x v="2"/>
    <x v="7"/>
    <s v="Line-fit"/>
    <x v="0"/>
    <x v="1"/>
    <x v="1"/>
    <s v="Lost"/>
    <s v="Other"/>
    <n v="0"/>
    <s v="Lost"/>
    <x v="0"/>
    <n v="1500000"/>
    <n v="116"/>
    <n v="1.3775086094288089"/>
    <n v="2.0662629141432132"/>
    <m/>
  </r>
  <r>
    <n v="20"/>
    <x v="5"/>
    <s v="6.5&quot; Commodity speaker - Kiger, Triber"/>
    <x v="1"/>
    <x v="2"/>
    <x v="7"/>
    <s v="Line-fit"/>
    <x v="0"/>
    <x v="1"/>
    <x v="1"/>
    <s v="Lost"/>
    <s v="Other"/>
    <n v="0"/>
    <s v="Lost"/>
    <x v="0"/>
    <n v="1500000"/>
    <n v="138"/>
    <n v="1.6387602422515142"/>
    <n v="2.4581403633772712"/>
    <m/>
  </r>
  <r>
    <n v="21"/>
    <x v="6"/>
    <s v="12.3&quot; CDC"/>
    <x v="1"/>
    <x v="3"/>
    <x v="9"/>
    <s v="Line-fit"/>
    <x v="0"/>
    <x v="0"/>
    <x v="5"/>
    <s v="Lead"/>
    <s v="Lead Qualification"/>
    <n v="0.5"/>
    <d v="2027-03-01T00:00:00"/>
    <x v="0"/>
    <n v="635000"/>
    <n v="28000"/>
    <n v="332.50207813798841"/>
    <n v="211.13881961762263"/>
    <s v="Awaiting direction from Nissan for RFQ"/>
  </r>
  <r>
    <n v="22"/>
    <x v="7"/>
    <s v="6.5&quot; speaker (Export market)"/>
    <x v="1"/>
    <x v="2"/>
    <x v="7"/>
    <s v="Line-fit"/>
    <x v="0"/>
    <x v="1"/>
    <x v="6"/>
    <s v="Dropped"/>
    <s v="Other"/>
    <n v="0"/>
    <s v="Dropped"/>
    <x v="0"/>
    <n v="545000"/>
    <n v="170"/>
    <n v="2.0187626172663582"/>
    <n v="1.1002256264101651"/>
    <s v="No response from Stellantis"/>
  </r>
  <r>
    <n v="23"/>
    <x v="7"/>
    <s v="360-deg. camera solution"/>
    <x v="0"/>
    <x v="1"/>
    <x v="1"/>
    <s v="Line-fit"/>
    <x v="0"/>
    <x v="0"/>
    <x v="7"/>
    <s v="Win"/>
    <s v="Closing"/>
    <n v="1"/>
    <s v="Secured"/>
    <x v="4"/>
    <n v="22800"/>
    <n v="14350"/>
    <n v="170.40731504571906"/>
    <n v="3.8852867830423947"/>
    <m/>
  </r>
  <r>
    <n v="24"/>
    <x v="8"/>
    <s v="360 Camera"/>
    <x v="0"/>
    <x v="1"/>
    <x v="1"/>
    <s v="End-of-Line"/>
    <x v="3"/>
    <x v="0"/>
    <x v="4"/>
    <s v="Lead"/>
    <s v="Supplier Qualification"/>
    <n v="0.5"/>
    <d v="2026-09-01T00:00:00"/>
    <x v="0"/>
    <n v="9000"/>
    <n v="25000"/>
    <n v="296.87685548034676"/>
    <n v="2.6718916993231212"/>
    <s v="Discussion in progress with Stellantis Engg. team"/>
  </r>
  <r>
    <n v="25"/>
    <x v="9"/>
    <s v="Infotainment"/>
    <x v="1"/>
    <x v="3"/>
    <x v="8"/>
    <s v="Line-fit"/>
    <x v="2"/>
    <x v="0"/>
    <x v="6"/>
    <s v="Dropped"/>
    <s v="Other"/>
    <n v="0"/>
    <d v="2025-12-01T00:00:00"/>
    <x v="5"/>
    <n v="6000"/>
    <n v="25000"/>
    <n v="296.87685548034676"/>
    <n v="1.7812611328820804"/>
    <s v="Tata is not ready to handle MAP Topic, _x000a_Due to its complexity and less volume Pioneer dropped this Project"/>
  </r>
  <r>
    <n v="26"/>
    <x v="9"/>
    <s v="DMS"/>
    <x v="0"/>
    <x v="0"/>
    <x v="10"/>
    <s v="Line-fit"/>
    <x v="2"/>
    <x v="0"/>
    <x v="1"/>
    <s v="RFQ"/>
    <s v="Lost"/>
    <s v="Lost"/>
    <d v="2025-11-01T00:00:00"/>
    <x v="2"/>
    <n v="500000"/>
    <n v="3800"/>
    <n v="45.125282033012709"/>
    <n v="22.562641016506355"/>
    <s v="Lost to (Novus Hi-Tech)."/>
  </r>
  <r>
    <n v="27"/>
    <x v="10"/>
    <s v="360-deg. camera solution"/>
    <x v="0"/>
    <x v="1"/>
    <x v="1"/>
    <s v="Line-fit"/>
    <x v="0"/>
    <x v="0"/>
    <x v="8"/>
    <s v="Before Lead"/>
    <s v="Planning"/>
    <n v="0"/>
    <s v="TBC"/>
    <x v="0"/>
    <n v="0"/>
    <n v="0"/>
    <n v="0"/>
    <n v="0"/>
    <m/>
  </r>
  <r>
    <n v="28"/>
    <x v="11"/>
    <s v="360-deg. camera solution"/>
    <x v="0"/>
    <x v="1"/>
    <x v="1"/>
    <s v="DOP"/>
    <x v="2"/>
    <x v="0"/>
    <x v="6"/>
    <s v="Dropped"/>
    <s v="Other"/>
    <n v="0"/>
    <d v="2025-12-01T00:00:00"/>
    <x v="5"/>
    <n v="8000"/>
    <n v="13500"/>
    <n v="160.31350195938725"/>
    <n v="1.2825080156750979"/>
    <s v="We were not getting desired volume, Meantime Price of 360 degree increase due to technology shift from single chanel to dual chanel."/>
  </r>
  <r>
    <n v="29"/>
    <x v="11"/>
    <s v="Dashcam (520DC)"/>
    <x v="0"/>
    <x v="1"/>
    <x v="6"/>
    <s v="DOP"/>
    <x v="2"/>
    <x v="0"/>
    <x v="6"/>
    <s v="Dropped"/>
    <s v="Other"/>
    <n v="0"/>
    <d v="2025-12-01T00:00:00"/>
    <x v="5"/>
    <n v="8000"/>
    <n v="5000"/>
    <n v="59.375371096069358"/>
    <n v="0.47500296876855486"/>
    <s v="Less intrest from SAVW side."/>
  </r>
  <r>
    <n v="30"/>
    <x v="12"/>
    <s v="IVI"/>
    <x v="1"/>
    <x v="3"/>
    <x v="8"/>
    <s v="Line-fit"/>
    <x v="2"/>
    <x v="0"/>
    <x v="6"/>
    <s v="Lost"/>
    <s v="Lost"/>
    <s v="Lost"/>
    <d v="2025-10-01T00:00:00"/>
    <x v="5"/>
    <n v="100000"/>
    <n v="14000"/>
    <n v="166.2510390689942"/>
    <n v="16.625103906899419"/>
    <s v="VECV Was looking for engineering service and IVI development they wanted to develop with another source."/>
  </r>
  <r>
    <n v="31"/>
    <x v="12"/>
    <s v="Wirless Charger MPP Profile Qi 2.2"/>
    <x v="0"/>
    <x v="0"/>
    <x v="4"/>
    <s v="Line-fit"/>
    <x v="2"/>
    <x v="0"/>
    <x v="2"/>
    <s v="RFQ"/>
    <s v="Opportunity"/>
    <n v="0.5"/>
    <d v="2026-06-01T00:00:00"/>
    <x v="1"/>
    <n v="100000"/>
    <n v="2500"/>
    <n v="29.687685548034679"/>
    <n v="2.9687685548034679"/>
    <s v="RFQ received (28-Dec-2025)"/>
  </r>
  <r>
    <n v="32"/>
    <x v="11"/>
    <s v="Infotainment"/>
    <x v="1"/>
    <x v="3"/>
    <x v="8"/>
    <s v="DOP"/>
    <x v="2"/>
    <x v="0"/>
    <x v="6"/>
    <s v="Dropped"/>
    <s v="Other"/>
    <n v="0"/>
    <d v="2025-10-01T00:00:00"/>
    <x v="5"/>
    <n v="20000"/>
    <n v="13000"/>
    <n v="154.37596484978033"/>
    <n v="3.0875192969956067"/>
    <s v="RFQ Received, Commercial offer submitted._x000a_SAVW expectation is 12000 Against our Quote of 14500 INR"/>
  </r>
  <r>
    <n v="33"/>
    <x v="6"/>
    <s v="Tweeter"/>
    <x v="1"/>
    <x v="2"/>
    <x v="7"/>
    <s v="Line-fit"/>
    <x v="0"/>
    <x v="1"/>
    <x v="1"/>
    <s v="Lost"/>
    <s v="Other"/>
    <n v="0"/>
    <s v="Lost"/>
    <x v="1"/>
    <n v="635000"/>
    <n v="130"/>
    <n v="1.5437596484978031"/>
    <n v="0.98028737679610489"/>
    <m/>
  </r>
  <r>
    <n v="34"/>
    <x v="6"/>
    <s v="Wirless Charger MPP Profile Qi 2.1"/>
    <x v="0"/>
    <x v="0"/>
    <x v="4"/>
    <s v="Line-fit"/>
    <x v="0"/>
    <x v="0"/>
    <x v="5"/>
    <s v="Lead"/>
    <s v="Lead Qualification"/>
    <n v="0.5"/>
    <d v="2027-03-01T00:00:00"/>
    <x v="1"/>
    <n v="635000"/>
    <n v="1900"/>
    <n v="22.562641016506355"/>
    <n v="14.327277045481535"/>
    <s v="Awaiting RFQ from Nissan"/>
  </r>
  <r>
    <n v="35"/>
    <x v="6"/>
    <s v="USB Port - Type A/C (60W + 20W)"/>
    <x v="0"/>
    <x v="0"/>
    <x v="2"/>
    <s v="Line-fit"/>
    <x v="0"/>
    <x v="0"/>
    <x v="5"/>
    <s v="Lead"/>
    <s v="Lead Qualification"/>
    <n v="0.5"/>
    <d v="2027-03-01T00:00:00"/>
    <x v="1"/>
    <n v="635000"/>
    <n v="500"/>
    <n v="5.9375371096069358"/>
    <n v="3.7703360646004045"/>
    <s v="Awaiting RFQ from Nissan"/>
  </r>
  <r>
    <n v="36"/>
    <x v="3"/>
    <s v="IRVM - with DVR"/>
    <x v="0"/>
    <x v="1"/>
    <x v="11"/>
    <s v="Line-fit"/>
    <x v="0"/>
    <x v="0"/>
    <x v="9"/>
    <s v="RFQ"/>
    <s v="Negotiation"/>
    <n v="0.75"/>
    <d v="2026-03-01T00:00:00"/>
    <x v="0"/>
    <n v="377000"/>
    <n v="16000"/>
    <n v="190.00118750742195"/>
    <n v="71.630447690298084"/>
    <s v="TSO signed. Commercial negotiations to begin soon."/>
  </r>
  <r>
    <n v="37"/>
    <x v="5"/>
    <s v="1&quot; Tweeter - Special Edition Kiger/Triber "/>
    <x v="1"/>
    <x v="2"/>
    <x v="7"/>
    <s v="Line-fit"/>
    <x v="0"/>
    <x v="1"/>
    <x v="1"/>
    <s v="Lost"/>
    <s v="Other"/>
    <n v="0"/>
    <s v="Lost"/>
    <x v="3"/>
    <n v="500000"/>
    <n v="130"/>
    <n v="1.5437596484978031"/>
    <n v="0.77187982424890156"/>
    <m/>
  </r>
  <r>
    <n v="38"/>
    <x v="13"/>
    <s v="RVC+Display"/>
    <x v="0"/>
    <x v="1"/>
    <x v="12"/>
    <s v="Line-fit"/>
    <x v="0"/>
    <x v="0"/>
    <x v="2"/>
    <s v="RFQ"/>
    <s v="Opportunity"/>
    <n v="0.5"/>
    <d v="2026-12-01T00:00:00"/>
    <x v="1"/>
    <n v="4750"/>
    <n v="11000"/>
    <n v="130.62581641135259"/>
    <n v="0.62047262795392477"/>
    <s v="RFQ received. Proposal to be submitted."/>
  </r>
  <r>
    <n v="39"/>
    <x v="7"/>
    <s v="Wireless Charger Qi2.2"/>
    <x v="0"/>
    <x v="0"/>
    <x v="4"/>
    <s v="Line-fit"/>
    <x v="0"/>
    <x v="0"/>
    <x v="5"/>
    <s v="Lead"/>
    <s v="Lead Qualification"/>
    <n v="0.5"/>
    <d v="2026-12-01T00:00:00"/>
    <x v="1"/>
    <n v="210000"/>
    <n v="2100"/>
    <n v="24.937655860349128"/>
    <n v="5.2369077306733169"/>
    <s v="Awaiting RFQ from Stellantis"/>
  </r>
  <r>
    <n v="40"/>
    <x v="5"/>
    <s v="6.5&quot; speaker - Special Edition Kiger/Triber "/>
    <x v="1"/>
    <x v="2"/>
    <x v="7"/>
    <s v="Line-fit"/>
    <x v="0"/>
    <x v="1"/>
    <x v="1"/>
    <s v="Lost"/>
    <s v="Other"/>
    <n v="0"/>
    <s v="Lost"/>
    <x v="0"/>
    <n v="79800"/>
    <n v="5000"/>
    <n v="59.375371096069358"/>
    <n v="4.7381546134663344"/>
    <m/>
  </r>
  <r>
    <n v="41"/>
    <x v="3"/>
    <s v="IRVM - without DVR"/>
    <x v="0"/>
    <x v="1"/>
    <x v="11"/>
    <s v="Line-fit"/>
    <x v="0"/>
    <x v="0"/>
    <x v="9"/>
    <s v="RFQ"/>
    <s v="Negotiation"/>
    <n v="0.75"/>
    <d v="2026-03-01T00:00:00"/>
    <x v="0"/>
    <n v="377000"/>
    <n v="13000"/>
    <n v="154.37596484978033"/>
    <n v="58.199738748367182"/>
    <s v="TSO signed. Commercial negotiations to begin soon."/>
  </r>
  <r>
    <n v="42"/>
    <x v="14"/>
    <s v="Speaker"/>
    <x v="1"/>
    <x v="2"/>
    <x v="7"/>
    <s v="Line-fit"/>
    <x v="2"/>
    <x v="1"/>
    <x v="9"/>
    <s v="RFQ"/>
    <s v="Negotiation"/>
    <n v="0.75"/>
    <d v="2026-03-01T00:00:00"/>
    <x v="1"/>
    <n v="12000"/>
    <n v="2500"/>
    <n v="29.687685548034679"/>
    <n v="0.3562522265764162"/>
    <s v="Conditional nomination received. Test reports pending."/>
  </r>
  <r>
    <n v="43"/>
    <x v="14"/>
    <s v="1 DIN"/>
    <x v="1"/>
    <x v="3"/>
    <x v="8"/>
    <s v="Line-fit"/>
    <x v="2"/>
    <x v="1"/>
    <x v="9"/>
    <s v="RFQ"/>
    <s v="Negotiation"/>
    <n v="0.75"/>
    <d v="2026-03-01T00:00:00"/>
    <x v="1"/>
    <n v="6000"/>
    <n v="3200"/>
    <n v="38.000237501484385"/>
    <n v="0.2280014250089063"/>
    <s v="Conditional nomination received. Test reports pending."/>
  </r>
  <r>
    <n v="44"/>
    <x v="15"/>
    <s v="1 DIN"/>
    <x v="1"/>
    <x v="3"/>
    <x v="8"/>
    <s v="Line-fit"/>
    <x v="2"/>
    <x v="1"/>
    <x v="6"/>
    <s v="Dropped"/>
    <s v="Other"/>
    <n v="0"/>
    <s v="Dropped"/>
    <x v="5"/>
    <n v="93100"/>
    <n v="1500"/>
    <n v="17.812611328820807"/>
    <n v="1.658354114713217"/>
    <m/>
  </r>
  <r>
    <n v="45"/>
    <x v="16"/>
    <s v="Infotainment"/>
    <x v="1"/>
    <x v="3"/>
    <x v="8"/>
    <s v="Line-fit"/>
    <x v="2"/>
    <x v="0"/>
    <x v="8"/>
    <s v="Before Lead"/>
    <s v="Planning"/>
    <n v="0"/>
    <s v="TBC"/>
    <x v="0"/>
    <n v="50000"/>
    <n v="8000"/>
    <n v="95.000593753710973"/>
    <n v="4.7500296876855481"/>
    <s v="Intial level technical proposal submitted,follow up meeting planned in Jan 26."/>
  </r>
  <r>
    <n v="46"/>
    <x v="17"/>
    <s v="Connected 360-deg. camera + 7&quot; display"/>
    <x v="0"/>
    <x v="1"/>
    <x v="1"/>
    <s v="Line-fit"/>
    <x v="1"/>
    <x v="1"/>
    <x v="8"/>
    <s v="Before Lead"/>
    <s v="Planning"/>
    <n v="0"/>
    <s v="TBC"/>
    <x v="0"/>
    <n v="0"/>
    <n v="0"/>
    <n v="0"/>
    <n v="0"/>
    <m/>
  </r>
  <r>
    <n v="47"/>
    <x v="17"/>
    <s v="RVC + 7&quot; display"/>
    <x v="0"/>
    <x v="1"/>
    <x v="13"/>
    <s v="Line-fit"/>
    <x v="1"/>
    <x v="1"/>
    <x v="8"/>
    <s v="Before Lead"/>
    <s v="Planning"/>
    <n v="0"/>
    <s v="TBC"/>
    <x v="0"/>
    <n v="0"/>
    <n v="0"/>
    <n v="0"/>
    <n v="0"/>
    <m/>
  </r>
  <r>
    <n v="48"/>
    <x v="3"/>
    <s v="Wirless Charger MPP Profile Qi 2.2"/>
    <x v="0"/>
    <x v="0"/>
    <x v="4"/>
    <s v="Line-fit"/>
    <x v="0"/>
    <x v="0"/>
    <x v="9"/>
    <s v="RFQ"/>
    <s v="Negotiation"/>
    <n v="0.75"/>
    <d v="2026-03-01T00:00:00"/>
    <x v="1"/>
    <n v="1500000"/>
    <n v="2100"/>
    <n v="24.937655860349128"/>
    <n v="37.406483790523694"/>
    <s v="RFQ received. TSO submitted. Negotiations in progress."/>
  </r>
  <r>
    <n v="49"/>
    <x v="3"/>
    <s v="IRVM with 2-camera (for Bolero pickup)"/>
    <x v="0"/>
    <x v="1"/>
    <x v="11"/>
    <s v="Line-fit"/>
    <x v="0"/>
    <x v="0"/>
    <x v="8"/>
    <s v="Before Lead"/>
    <s v="Planning"/>
    <n v="0"/>
    <s v="TBC"/>
    <x v="0"/>
    <n v="250000"/>
    <n v="8000"/>
    <n v="95.000593753710973"/>
    <n v="23.750148438427743"/>
    <s v="POC planned on 30-Jan-2026"/>
  </r>
  <r>
    <n v="50"/>
    <x v="18"/>
    <s v="LVDS camera (part of 360-deg, without ECU)"/>
    <x v="0"/>
    <x v="1"/>
    <x v="1"/>
    <s v="Line-fit"/>
    <x v="0"/>
    <x v="0"/>
    <x v="2"/>
    <s v="RFQ"/>
    <s v="Opportunity"/>
    <n v="0.5"/>
    <d v="2026-03-01T00:00:00"/>
    <x v="1"/>
    <n v="1000000"/>
    <n v="1200"/>
    <n v="14.250089063056645"/>
    <n v="14.250089063056645"/>
    <s v="TSO under discussion"/>
  </r>
  <r>
    <n v="51"/>
    <x v="3"/>
    <s v="W616 (XUV 7XO) - Booster amp + Center &amp;/or Roof"/>
    <x v="1"/>
    <x v="2"/>
    <x v="3"/>
    <s v="Line-fit"/>
    <x v="2"/>
    <x v="1"/>
    <x v="4"/>
    <s v="Lead"/>
    <s v="Supplier Qualification"/>
    <n v="0.5"/>
    <d v="2026-12-01T00:00:00"/>
    <x v="0"/>
    <n v="125000"/>
    <n v="5000"/>
    <n v="59.375371096069358"/>
    <n v="7.4219213870086698"/>
    <s v="RFI received. Response to be submitted."/>
  </r>
  <r>
    <n v="52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3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4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5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6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7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8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59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0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1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2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3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4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5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6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7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8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69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0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1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2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3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4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5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6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7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8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79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0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1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2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3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4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5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6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7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8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89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0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1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2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3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4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5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6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7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8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99"/>
    <x v="19"/>
    <m/>
    <x v="2"/>
    <x v="4"/>
    <x v="14"/>
    <m/>
    <x v="4"/>
    <x v="2"/>
    <x v="10"/>
    <e v="#N/A"/>
    <e v="#N/A"/>
    <e v="#N/A"/>
    <m/>
    <x v="6"/>
    <m/>
    <m/>
    <n v="0"/>
    <n v="0"/>
    <m/>
  </r>
  <r>
    <n v="100"/>
    <x v="19"/>
    <m/>
    <x v="2"/>
    <x v="4"/>
    <x v="14"/>
    <m/>
    <x v="4"/>
    <x v="2"/>
    <x v="10"/>
    <e v="#N/A"/>
    <e v="#N/A"/>
    <e v="#N/A"/>
    <m/>
    <x v="6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FC259-D542-41EF-A1CC-809149A991E6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F20" firstHeaderRow="1" firstDataRow="2" firstDataCol="1" rowPageCount="1" colPageCount="1"/>
  <pivotFields count="20">
    <pivotField showAll="0"/>
    <pivotField axis="axisRow"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5">
    <i>
      <x v="5"/>
    </i>
    <i>
      <x v="7"/>
    </i>
    <i>
      <x v="6"/>
    </i>
    <i>
      <x v="8"/>
    </i>
    <i>
      <x v="10"/>
    </i>
    <i>
      <x v="19"/>
    </i>
    <i>
      <x v="9"/>
    </i>
    <i>
      <x v="17"/>
    </i>
    <i>
      <x v="13"/>
    </i>
    <i>
      <x v="2"/>
    </i>
    <i>
      <x v="14"/>
    </i>
    <i>
      <x v="15"/>
    </i>
    <i>
      <x v="4"/>
    </i>
    <i>
      <x v="18"/>
    </i>
    <i t="grand">
      <x/>
    </i>
  </rowItems>
  <colFields count="1">
    <field x="4"/>
  </colFields>
  <colItems count="5">
    <i>
      <x v="15"/>
    </i>
    <i>
      <x v="13"/>
    </i>
    <i>
      <x v="14"/>
    </i>
    <i>
      <x v="12"/>
    </i>
    <i t="grand">
      <x/>
    </i>
  </colItems>
  <pageFields count="1">
    <pageField fld="9" hier="-1"/>
  </pageFields>
  <dataFields count="1">
    <dataField name="Sum of TCV _x000a_(USD Mln.)" fld="18" baseField="0" baseItem="0" numFmtId="164"/>
  </dataFields>
  <formats count="61">
    <format dxfId="540">
      <pivotArea type="all" dataOnly="0" outline="0" fieldPosition="0"/>
    </format>
    <format dxfId="539">
      <pivotArea outline="0" collapsedLevelsAreSubtotals="1" fieldPosition="0"/>
    </format>
    <format dxfId="538">
      <pivotArea type="origin" dataOnly="0" labelOnly="1" outline="0" fieldPosition="0"/>
    </format>
    <format dxfId="537">
      <pivotArea field="4" type="button" dataOnly="0" labelOnly="1" outline="0" axis="axisCol" fieldPosition="0"/>
    </format>
    <format dxfId="536">
      <pivotArea type="topRight" dataOnly="0" labelOnly="1" outline="0" fieldPosition="0"/>
    </format>
    <format dxfId="535">
      <pivotArea field="1" type="button" dataOnly="0" labelOnly="1" outline="0" axis="axisRow" fieldPosition="0"/>
    </format>
    <format dxfId="534">
      <pivotArea dataOnly="0" labelOnly="1" fieldPosition="0">
        <references count="1">
          <reference field="1" count="0"/>
        </references>
      </pivotArea>
    </format>
    <format dxfId="533">
      <pivotArea dataOnly="0" labelOnly="1" grandRow="1" outline="0" fieldPosition="0"/>
    </format>
    <format dxfId="532">
      <pivotArea dataOnly="0" labelOnly="1" fieldPosition="0">
        <references count="1">
          <reference field="4" count="0"/>
        </references>
      </pivotArea>
    </format>
    <format dxfId="531">
      <pivotArea dataOnly="0" labelOnly="1" grandCol="1" outline="0" fieldPosition="0"/>
    </format>
    <format dxfId="530">
      <pivotArea type="all" dataOnly="0" outline="0" fieldPosition="0"/>
    </format>
    <format dxfId="529">
      <pivotArea outline="0" collapsedLevelsAreSubtotals="1" fieldPosition="0"/>
    </format>
    <format dxfId="528">
      <pivotArea type="origin" dataOnly="0" labelOnly="1" outline="0" fieldPosition="0"/>
    </format>
    <format dxfId="527">
      <pivotArea field="4" type="button" dataOnly="0" labelOnly="1" outline="0" axis="axisCol" fieldPosition="0"/>
    </format>
    <format dxfId="526">
      <pivotArea type="topRight" dataOnly="0" labelOnly="1" outline="0" fieldPosition="0"/>
    </format>
    <format dxfId="525">
      <pivotArea field="1" type="button" dataOnly="0" labelOnly="1" outline="0" axis="axisRow" fieldPosition="0"/>
    </format>
    <format dxfId="524">
      <pivotArea dataOnly="0" labelOnly="1" fieldPosition="0">
        <references count="1">
          <reference field="1" count="0"/>
        </references>
      </pivotArea>
    </format>
    <format dxfId="523">
      <pivotArea dataOnly="0" labelOnly="1" grandRow="1" outline="0" fieldPosition="0"/>
    </format>
    <format dxfId="522">
      <pivotArea dataOnly="0" labelOnly="1" fieldPosition="0">
        <references count="1">
          <reference field="4" count="0"/>
        </references>
      </pivotArea>
    </format>
    <format dxfId="521">
      <pivotArea dataOnly="0" labelOnly="1" grandCol="1" outline="0" fieldPosition="0"/>
    </format>
    <format dxfId="520">
      <pivotArea type="all" dataOnly="0" outline="0" fieldPosition="0"/>
    </format>
    <format dxfId="519">
      <pivotArea outline="0" collapsedLevelsAreSubtotals="1" fieldPosition="0"/>
    </format>
    <format dxfId="518">
      <pivotArea type="origin" dataOnly="0" labelOnly="1" outline="0" fieldPosition="0"/>
    </format>
    <format dxfId="517">
      <pivotArea field="4" type="button" dataOnly="0" labelOnly="1" outline="0" axis="axisCol" fieldPosition="0"/>
    </format>
    <format dxfId="516">
      <pivotArea type="topRight" dataOnly="0" labelOnly="1" outline="0" fieldPosition="0"/>
    </format>
    <format dxfId="515">
      <pivotArea field="1" type="button" dataOnly="0" labelOnly="1" outline="0" axis="axisRow" fieldPosition="0"/>
    </format>
    <format dxfId="514">
      <pivotArea dataOnly="0" labelOnly="1" fieldPosition="0">
        <references count="1">
          <reference field="1" count="0"/>
        </references>
      </pivotArea>
    </format>
    <format dxfId="513">
      <pivotArea dataOnly="0" labelOnly="1" grandRow="1" outline="0" fieldPosition="0"/>
    </format>
    <format dxfId="512">
      <pivotArea dataOnly="0" labelOnly="1" fieldPosition="0">
        <references count="1">
          <reference field="4" count="0"/>
        </references>
      </pivotArea>
    </format>
    <format dxfId="511">
      <pivotArea dataOnly="0" labelOnly="1" grandCol="1" outline="0" fieldPosition="0"/>
    </format>
    <format dxfId="510">
      <pivotArea field="1" type="button" dataOnly="0" labelOnly="1" outline="0" axis="axisRow" fieldPosition="0"/>
    </format>
    <format dxfId="50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8">
      <pivotArea dataOnly="0" labelOnly="1" grandRow="1" outline="0" fieldPosition="0"/>
    </format>
    <format dxfId="507">
      <pivotArea dataOnly="0" labelOnly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06">
      <pivotArea dataOnly="0" labelOnly="1" grandCol="1" outline="0" fieldPosition="0"/>
    </format>
    <format dxfId="505">
      <pivotArea dataOnly="0" labelOnly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04">
      <pivotArea dataOnly="0" labelOnly="1" grandCol="1" outline="0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type="origin" dataOnly="0" labelOnly="1" outline="0" fieldPosition="0"/>
    </format>
    <format dxfId="500">
      <pivotArea field="4" type="button" dataOnly="0" labelOnly="1" outline="0" axis="axisCol" fieldPosition="0"/>
    </format>
    <format dxfId="499">
      <pivotArea type="topRight" dataOnly="0" labelOnly="1" outline="0" fieldPosition="0"/>
    </format>
    <format dxfId="498">
      <pivotArea field="1" type="button" dataOnly="0" labelOnly="1" outline="0" axis="axisRow" fieldPosition="0"/>
    </format>
    <format dxfId="497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96">
      <pivotArea dataOnly="0" labelOnly="1" grandRow="1" outline="0" fieldPosition="0"/>
    </format>
    <format dxfId="495">
      <pivotArea dataOnly="0" labelOnly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94">
      <pivotArea dataOnly="0" labelOnly="1" grandCol="1" outline="0" fieldPosition="0"/>
    </format>
    <format dxfId="493">
      <pivotArea outline="0" collapsedLevelsAreSubtotals="1" fieldPosition="0"/>
    </format>
    <format dxfId="492">
      <pivotArea field="9" type="button" dataOnly="0" labelOnly="1" outline="0" axis="axisPage" fieldPosition="0"/>
    </format>
    <format dxfId="491">
      <pivotArea field="1" type="button" dataOnly="0" labelOnly="1" outline="0" axis="axisRow" fieldPosition="0"/>
    </format>
    <format dxfId="490">
      <pivotArea dataOnly="0" labelOnly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89">
      <pivotArea dataOnly="0" labelOnly="1" grandCol="1" outline="0" fieldPosition="0"/>
    </format>
    <format dxfId="488">
      <pivotArea field="1" grandCol="1" collapsedLevelsAreSubtotals="1" axis="axisRow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7">
      <pivotArea field="1" type="button" dataOnly="0" labelOnly="1" outline="0" axis="axisRow" fieldPosition="0"/>
    </format>
    <format dxfId="486">
      <pivotArea dataOnly="0" labelOnly="1" fieldPosition="0">
        <references count="1">
          <reference field="4" count="4">
            <x v="12"/>
            <x v="13"/>
            <x v="14"/>
            <x v="15"/>
          </reference>
        </references>
      </pivotArea>
    </format>
    <format dxfId="485">
      <pivotArea dataOnly="0" labelOnly="1" grandCol="1" outline="0" fieldPosition="0"/>
    </format>
    <format dxfId="484">
      <pivotArea dataOnly="0" labelOnly="1" fieldPosition="0">
        <references count="1">
          <reference field="1" count="14">
            <x v="2"/>
            <x v="4"/>
            <x v="5"/>
            <x v="6"/>
            <x v="7"/>
            <x v="8"/>
            <x v="9"/>
            <x v="10"/>
            <x v="13"/>
            <x v="14"/>
            <x v="15"/>
            <x v="17"/>
            <x v="18"/>
            <x v="19"/>
          </reference>
        </references>
      </pivotArea>
    </format>
    <format dxfId="483">
      <pivotArea dataOnly="0" labelOnly="1" fieldPosition="0">
        <references count="1">
          <reference field="1" count="14">
            <x v="2"/>
            <x v="4"/>
            <x v="5"/>
            <x v="6"/>
            <x v="7"/>
            <x v="8"/>
            <x v="9"/>
            <x v="10"/>
            <x v="13"/>
            <x v="14"/>
            <x v="15"/>
            <x v="17"/>
            <x v="18"/>
            <x v="19"/>
          </reference>
        </references>
      </pivotArea>
    </format>
    <format dxfId="482">
      <pivotArea dataOnly="0" labelOnly="1" fieldPosition="0">
        <references count="1">
          <reference field="1" count="14">
            <x v="2"/>
            <x v="4"/>
            <x v="5"/>
            <x v="6"/>
            <x v="7"/>
            <x v="8"/>
            <x v="9"/>
            <x v="10"/>
            <x v="13"/>
            <x v="14"/>
            <x v="15"/>
            <x v="17"/>
            <x v="18"/>
            <x v="19"/>
          </reference>
        </references>
      </pivotArea>
    </format>
    <format dxfId="481">
      <pivotArea dataOnly="0" labelOnly="1" fieldPosition="0">
        <references count="1">
          <reference field="1" count="14">
            <x v="2"/>
            <x v="4"/>
            <x v="5"/>
            <x v="6"/>
            <x v="7"/>
            <x v="8"/>
            <x v="9"/>
            <x v="10"/>
            <x v="13"/>
            <x v="14"/>
            <x v="15"/>
            <x v="17"/>
            <x v="18"/>
            <x v="19"/>
          </reference>
        </references>
      </pivotArea>
    </format>
    <format dxfId="480">
      <pivotArea field="1" grandCol="1" collapsedLevelsAreSubtotals="1" axis="axisRow" fieldPosition="0">
        <references count="1">
          <reference field="1" count="9">
            <x v="2"/>
            <x v="4"/>
            <x v="9"/>
            <x v="13"/>
            <x v="14"/>
            <x v="15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DF6A3-EB1B-44AF-840A-5D992F5A2126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M19" firstHeaderRow="1" firstDataRow="2" firstDataCol="1" rowPageCount="1" colPageCount="1"/>
  <pivotFields count="20">
    <pivotField showAll="0"/>
    <pivotField axis="axisRow"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2">
        <item x="8"/>
        <item x="3"/>
        <item x="5"/>
        <item x="4"/>
        <item x="2"/>
        <item x="9"/>
        <item h="1" x="1"/>
        <item h="1"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4">
    <i>
      <x v="7"/>
    </i>
    <i>
      <x v="5"/>
    </i>
    <i>
      <x v="6"/>
    </i>
    <i>
      <x v="19"/>
    </i>
    <i>
      <x v="8"/>
    </i>
    <i>
      <x v="9"/>
    </i>
    <i>
      <x v="17"/>
    </i>
    <i>
      <x v="13"/>
    </i>
    <i>
      <x v="2"/>
    </i>
    <i>
      <x v="14"/>
    </i>
    <i>
      <x v="15"/>
    </i>
    <i>
      <x v="4"/>
    </i>
    <i>
      <x v="18"/>
    </i>
    <i t="grand">
      <x/>
    </i>
  </rowItems>
  <colFields count="1">
    <field x="5"/>
  </colFields>
  <colItems count="12">
    <i>
      <x v="1"/>
    </i>
    <i>
      <x v="12"/>
    </i>
    <i>
      <x v="10"/>
    </i>
    <i>
      <x v="4"/>
    </i>
    <i>
      <x/>
    </i>
    <i>
      <x v="7"/>
    </i>
    <i>
      <x v="6"/>
    </i>
    <i>
      <x v="9"/>
    </i>
    <i>
      <x v="13"/>
    </i>
    <i>
      <x v="8"/>
    </i>
    <i>
      <x v="14"/>
    </i>
    <i t="grand">
      <x/>
    </i>
  </colItems>
  <pageFields count="1">
    <pageField fld="9" hier="-1"/>
  </pageFields>
  <dataFields count="1">
    <dataField name="Sum of TCV _x000a_(USD Mln.)" fld="18" baseField="0" baseItem="0" numFmtId="164"/>
  </dataFields>
  <formats count="54">
    <format dxfId="479">
      <pivotArea type="all" dataOnly="0" outline="0" fieldPosition="0"/>
    </format>
    <format dxfId="478">
      <pivotArea outline="0" collapsedLevelsAreSubtotals="1" fieldPosition="0"/>
    </format>
    <format dxfId="477">
      <pivotArea type="origin" dataOnly="0" labelOnly="1" outline="0" fieldPosition="0"/>
    </format>
    <format dxfId="476">
      <pivotArea field="4" type="button" dataOnly="0" labelOnly="1" outline="0"/>
    </format>
    <format dxfId="475">
      <pivotArea type="topRight" dataOnly="0" labelOnly="1" outline="0" fieldPosition="0"/>
    </format>
    <format dxfId="474">
      <pivotArea field="1" type="button" dataOnly="0" labelOnly="1" outline="0" axis="axisRow" fieldPosition="0"/>
    </format>
    <format dxfId="473">
      <pivotArea dataOnly="0" labelOnly="1" fieldPosition="0">
        <references count="1">
          <reference field="1" count="0"/>
        </references>
      </pivotArea>
    </format>
    <format dxfId="472">
      <pivotArea dataOnly="0" labelOnly="1" grandRow="1" outline="0" fieldPosition="0"/>
    </format>
    <format dxfId="471">
      <pivotArea dataOnly="0" labelOnly="1" grandCol="1" outline="0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type="origin" dataOnly="0" labelOnly="1" outline="0" fieldPosition="0"/>
    </format>
    <format dxfId="467">
      <pivotArea field="4" type="button" dataOnly="0" labelOnly="1" outline="0"/>
    </format>
    <format dxfId="466">
      <pivotArea type="topRight" dataOnly="0" labelOnly="1" outline="0" fieldPosition="0"/>
    </format>
    <format dxfId="465">
      <pivotArea field="1" type="button" dataOnly="0" labelOnly="1" outline="0" axis="axisRow" fieldPosition="0"/>
    </format>
    <format dxfId="464">
      <pivotArea dataOnly="0" labelOnly="1" fieldPosition="0">
        <references count="1">
          <reference field="1" count="0"/>
        </references>
      </pivotArea>
    </format>
    <format dxfId="463">
      <pivotArea dataOnly="0" labelOnly="1" grandRow="1" outline="0" fieldPosition="0"/>
    </format>
    <format dxfId="462">
      <pivotArea dataOnly="0" labelOnly="1" grandCol="1" outline="0" fieldPosition="0"/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type="origin" dataOnly="0" labelOnly="1" outline="0" fieldPosition="0"/>
    </format>
    <format dxfId="458">
      <pivotArea field="4" type="button" dataOnly="0" labelOnly="1" outline="0"/>
    </format>
    <format dxfId="457">
      <pivotArea type="topRight" dataOnly="0" labelOnly="1" outline="0" fieldPosition="0"/>
    </format>
    <format dxfId="456">
      <pivotArea field="1" type="button" dataOnly="0" labelOnly="1" outline="0" axis="axisRow" fieldPosition="0"/>
    </format>
    <format dxfId="455">
      <pivotArea dataOnly="0" labelOnly="1" fieldPosition="0">
        <references count="1">
          <reference field="1" count="0"/>
        </references>
      </pivotArea>
    </format>
    <format dxfId="454">
      <pivotArea dataOnly="0" labelOnly="1" grandRow="1" outline="0" fieldPosition="0"/>
    </format>
    <format dxfId="453">
      <pivotArea dataOnly="0" labelOnly="1" grandCol="1" outline="0" fieldPosition="0"/>
    </format>
    <format dxfId="452">
      <pivotArea field="1" type="button" dataOnly="0" labelOnly="1" outline="0" axis="axisRow" fieldPosition="0"/>
    </format>
    <format dxfId="451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0">
      <pivotArea dataOnly="0" labelOnly="1" grandRow="1" outline="0" fieldPosition="0"/>
    </format>
    <format dxfId="449">
      <pivotArea dataOnly="0" labelOnly="1" grandCol="1" outline="0" fieldPosition="0"/>
    </format>
    <format dxfId="448">
      <pivotArea dataOnly="0" labelOnly="1" grandCol="1" outline="0" fieldPosition="0"/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type="origin" dataOnly="0" labelOnly="1" outline="0" fieldPosition="0"/>
    </format>
    <format dxfId="444">
      <pivotArea field="4" type="button" dataOnly="0" labelOnly="1" outline="0"/>
    </format>
    <format dxfId="443">
      <pivotArea type="topRight" dataOnly="0" labelOnly="1" outline="0" fieldPosition="0"/>
    </format>
    <format dxfId="442">
      <pivotArea field="1" type="button" dataOnly="0" labelOnly="1" outline="0" axis="axisRow" fieldPosition="0"/>
    </format>
    <format dxfId="441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0">
      <pivotArea dataOnly="0" labelOnly="1" grandRow="1" outline="0" fieldPosition="0"/>
    </format>
    <format dxfId="439">
      <pivotArea dataOnly="0" labelOnly="1" grandCol="1" outline="0" fieldPosition="0"/>
    </format>
    <format dxfId="438">
      <pivotArea outline="0" collapsedLevelsAreSubtotals="1" fieldPosition="0"/>
    </format>
    <format dxfId="437">
      <pivotArea field="9" type="button" dataOnly="0" labelOnly="1" outline="0" axis="axisPage" fieldPosition="0"/>
    </format>
    <format dxfId="436">
      <pivotArea field="1" type="button" dataOnly="0" labelOnly="1" outline="0" axis="axisRow" fieldPosition="0"/>
    </format>
    <format dxfId="435">
      <pivotArea dataOnly="0" labelOnly="1" grandCol="1" outline="0" fieldPosition="0"/>
    </format>
    <format dxfId="434">
      <pivotArea field="1" grandCol="1" collapsedLevelsAreSubtotals="1" axis="axisRow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3">
      <pivotArea field="1" type="button" dataOnly="0" labelOnly="1" outline="0" axis="axisRow" fieldPosition="0"/>
    </format>
    <format dxfId="432">
      <pivotArea dataOnly="0" labelOnly="1" grandCol="1" outline="0" fieldPosition="0"/>
    </format>
    <format dxfId="431">
      <pivotArea field="1" type="button" dataOnly="0" labelOnly="1" outline="0" axis="axisRow" fieldPosition="0"/>
    </format>
    <format dxfId="430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9">
      <pivotArea dataOnly="0" labelOnly="1" grandCol="1" outline="0" fieldPosition="0"/>
    </format>
    <format dxfId="428">
      <pivotArea field="1" type="button" dataOnly="0" labelOnly="1" outline="0" axis="axisRow" fieldPosition="0"/>
    </format>
    <format dxfId="427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FE29B-EE45-48A1-BF7D-1EF0D7A9E151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G19" firstHeaderRow="1" firstDataRow="2" firstDataCol="1" rowPageCount="1" colPageCount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axis="axisCol" showAll="0" sortType="descending">
      <items count="8">
        <item x="3"/>
        <item x="2"/>
        <item x="0"/>
        <item x="1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5"/>
  </rowFields>
  <rowItems count="14">
    <i>
      <x v="1"/>
    </i>
    <i>
      <x v="7"/>
    </i>
    <i>
      <x v="12"/>
    </i>
    <i>
      <x v="3"/>
    </i>
    <i>
      <x v="10"/>
    </i>
    <i>
      <x/>
    </i>
    <i>
      <x v="8"/>
    </i>
    <i>
      <x v="4"/>
    </i>
    <i>
      <x v="6"/>
    </i>
    <i>
      <x v="5"/>
    </i>
    <i>
      <x v="9"/>
    </i>
    <i>
      <x v="13"/>
    </i>
    <i>
      <x v="14"/>
    </i>
    <i t="grand">
      <x/>
    </i>
  </rowItems>
  <colFields count="1">
    <field x="14"/>
  </colFields>
  <colItems count="6">
    <i>
      <x v="2"/>
    </i>
    <i>
      <x v="1"/>
    </i>
    <i>
      <x v="3"/>
    </i>
    <i>
      <x/>
    </i>
    <i>
      <x v="4"/>
    </i>
    <i t="grand">
      <x/>
    </i>
  </colItems>
  <pageFields count="1">
    <pageField fld="9" hier="-1"/>
  </pageFields>
  <dataFields count="1">
    <dataField name="Sum of TCV _x000a_(USD Mln.)" fld="18" baseField="0" baseItem="0" numFmtId="164"/>
  </dataFields>
  <formats count="52">
    <format dxfId="425">
      <pivotArea type="all" dataOnly="0" outline="0" fieldPosition="0"/>
    </format>
    <format dxfId="424">
      <pivotArea outline="0" collapsedLevelsAreSubtotals="1" fieldPosition="0"/>
    </format>
    <format dxfId="423">
      <pivotArea type="origin" dataOnly="0" labelOnly="1" outline="0" fieldPosition="0"/>
    </format>
    <format dxfId="422">
      <pivotArea field="4" type="button" dataOnly="0" labelOnly="1" outline="0"/>
    </format>
    <format dxfId="421">
      <pivotArea type="topRight" dataOnly="0" labelOnly="1" outline="0" fieldPosition="0"/>
    </format>
    <format dxfId="420">
      <pivotArea field="1" type="button" dataOnly="0" labelOnly="1" outline="0"/>
    </format>
    <format dxfId="419">
      <pivotArea dataOnly="0" labelOnly="1" grandRow="1" outline="0" fieldPosition="0"/>
    </format>
    <format dxfId="418">
      <pivotArea dataOnly="0" labelOnly="1" grandCol="1" outline="0" fieldPosition="0"/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type="origin" dataOnly="0" labelOnly="1" outline="0" fieldPosition="0"/>
    </format>
    <format dxfId="414">
      <pivotArea field="4" type="button" dataOnly="0" labelOnly="1" outline="0"/>
    </format>
    <format dxfId="413">
      <pivotArea type="topRight" dataOnly="0" labelOnly="1" outline="0" fieldPosition="0"/>
    </format>
    <format dxfId="412">
      <pivotArea field="1" type="button" dataOnly="0" labelOnly="1" outline="0"/>
    </format>
    <format dxfId="411">
      <pivotArea dataOnly="0" labelOnly="1" grandRow="1" outline="0" fieldPosition="0"/>
    </format>
    <format dxfId="410">
      <pivotArea dataOnly="0" labelOnly="1" grandCol="1" outline="0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type="origin" dataOnly="0" labelOnly="1" outline="0" fieldPosition="0"/>
    </format>
    <format dxfId="406">
      <pivotArea field="4" type="button" dataOnly="0" labelOnly="1" outline="0"/>
    </format>
    <format dxfId="405">
      <pivotArea type="topRight" dataOnly="0" labelOnly="1" outline="0" fieldPosition="0"/>
    </format>
    <format dxfId="404">
      <pivotArea field="1" type="button" dataOnly="0" labelOnly="1" outline="0"/>
    </format>
    <format dxfId="403">
      <pivotArea dataOnly="0" labelOnly="1" grandRow="1" outline="0" fieldPosition="0"/>
    </format>
    <format dxfId="402">
      <pivotArea dataOnly="0" labelOnly="1" grandCol="1" outline="0" fieldPosition="0"/>
    </format>
    <format dxfId="401">
      <pivotArea field="1" type="button" dataOnly="0" labelOnly="1" outline="0"/>
    </format>
    <format dxfId="400">
      <pivotArea dataOnly="0" labelOnly="1" grandRow="1" outline="0" fieldPosition="0"/>
    </format>
    <format dxfId="399">
      <pivotArea dataOnly="0" labelOnly="1" grandCol="1" outline="0" fieldPosition="0"/>
    </format>
    <format dxfId="398">
      <pivotArea dataOnly="0" labelOnly="1" grandCol="1" outline="0" fieldPosition="0"/>
    </format>
    <format dxfId="397">
      <pivotArea type="all" dataOnly="0" outline="0" fieldPosition="0"/>
    </format>
    <format dxfId="396">
      <pivotArea outline="0" collapsedLevelsAreSubtotals="1" fieldPosition="0"/>
    </format>
    <format dxfId="395">
      <pivotArea type="origin" dataOnly="0" labelOnly="1" outline="0" fieldPosition="0"/>
    </format>
    <format dxfId="394">
      <pivotArea field="4" type="button" dataOnly="0" labelOnly="1" outline="0"/>
    </format>
    <format dxfId="393">
      <pivotArea type="topRight" dataOnly="0" labelOnly="1" outline="0" fieldPosition="0"/>
    </format>
    <format dxfId="392">
      <pivotArea field="1" type="button" dataOnly="0" labelOnly="1" outline="0"/>
    </format>
    <format dxfId="391">
      <pivotArea dataOnly="0" labelOnly="1" grandRow="1" outline="0" fieldPosition="0"/>
    </format>
    <format dxfId="390">
      <pivotArea dataOnly="0" labelOnly="1" grandCol="1" outline="0" fieldPosition="0"/>
    </format>
    <format dxfId="389">
      <pivotArea outline="0" collapsedLevelsAreSubtotals="1" fieldPosition="0"/>
    </format>
    <format dxfId="388">
      <pivotArea field="9" type="button" dataOnly="0" labelOnly="1" outline="0" axis="axisPage" fieldPosition="0"/>
    </format>
    <format dxfId="387">
      <pivotArea field="1" type="button" dataOnly="0" labelOnly="1" outline="0"/>
    </format>
    <format dxfId="386">
      <pivotArea dataOnly="0" labelOnly="1" grandCol="1" outline="0" fieldPosition="0"/>
    </format>
    <format dxfId="385">
      <pivotArea field="1" type="button" dataOnly="0" labelOnly="1" outline="0"/>
    </format>
    <format dxfId="384">
      <pivotArea dataOnly="0" labelOnly="1" grandCol="1" outline="0" fieldPosition="0"/>
    </format>
    <format dxfId="383">
      <pivotArea field="1" type="button" dataOnly="0" labelOnly="1" outline="0"/>
    </format>
    <format dxfId="382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1">
      <pivotArea dataOnly="0" labelOnly="1" grandCol="1" outline="0" fieldPosition="0"/>
    </format>
    <format dxfId="380">
      <pivotArea field="1" type="button" dataOnly="0" labelOnly="1" outline="0"/>
    </format>
    <format dxfId="379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78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77">
      <pivotArea field="5" type="button" dataOnly="0" labelOnly="1" outline="0" axis="axisRow" fieldPosition="0"/>
    </format>
    <format dxfId="37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5">
      <pivotArea dataOnly="0" labelOnly="1" grandCol="1" outline="0" fieldPosition="0"/>
    </format>
    <format dxfId="374">
      <pivotArea field="5" grandCol="1" collapsedLevelsAreSubtotals="1" axis="axisRow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55324-7A01-4B37-8BD1-1E9CB4A76A8D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G8" firstHeaderRow="1" firstDataRow="2" firstDataCol="1" rowPageCount="1" colPageCount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axis="axisCol" showAll="0" sortType="descending">
      <items count="8">
        <item x="3"/>
        <item x="2"/>
        <item x="0"/>
        <item x="1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3">
    <i>
      <x v="1"/>
    </i>
    <i>
      <x/>
    </i>
    <i t="grand">
      <x/>
    </i>
  </rowItems>
  <colFields count="1">
    <field x="14"/>
  </colFields>
  <colItems count="6">
    <i>
      <x v="2"/>
    </i>
    <i>
      <x v="1"/>
    </i>
    <i>
      <x v="3"/>
    </i>
    <i>
      <x/>
    </i>
    <i>
      <x v="4"/>
    </i>
    <i t="grand">
      <x/>
    </i>
  </colItems>
  <pageFields count="1">
    <pageField fld="9" hier="-1"/>
  </pageFields>
  <dataFields count="1">
    <dataField name="Sum of TCV _x000a_(USD Mln.)" fld="18" baseField="0" baseItem="0" numFmtId="164"/>
  </dataFields>
  <formats count="50">
    <format dxfId="373">
      <pivotArea type="all" dataOnly="0" outline="0" fieldPosition="0"/>
    </format>
    <format dxfId="372">
      <pivotArea outline="0" collapsedLevelsAreSubtotals="1" fieldPosition="0"/>
    </format>
    <format dxfId="371">
      <pivotArea type="origin" dataOnly="0" labelOnly="1" outline="0" fieldPosition="0"/>
    </format>
    <format dxfId="370">
      <pivotArea field="4" type="button" dataOnly="0" labelOnly="1" outline="0"/>
    </format>
    <format dxfId="369">
      <pivotArea type="topRight" dataOnly="0" labelOnly="1" outline="0" fieldPosition="0"/>
    </format>
    <format dxfId="368">
      <pivotArea field="1" type="button" dataOnly="0" labelOnly="1" outline="0"/>
    </format>
    <format dxfId="367">
      <pivotArea dataOnly="0" labelOnly="1" grandRow="1" outline="0" fieldPosition="0"/>
    </format>
    <format dxfId="366">
      <pivotArea dataOnly="0" labelOnly="1" grandCol="1" outline="0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type="origin" dataOnly="0" labelOnly="1" outline="0" fieldPosition="0"/>
    </format>
    <format dxfId="362">
      <pivotArea field="4" type="button" dataOnly="0" labelOnly="1" outline="0"/>
    </format>
    <format dxfId="361">
      <pivotArea type="topRight" dataOnly="0" labelOnly="1" outline="0" fieldPosition="0"/>
    </format>
    <format dxfId="360">
      <pivotArea field="1" type="button" dataOnly="0" labelOnly="1" outline="0"/>
    </format>
    <format dxfId="359">
      <pivotArea dataOnly="0" labelOnly="1" grandRow="1" outline="0" fieldPosition="0"/>
    </format>
    <format dxfId="358">
      <pivotArea dataOnly="0" labelOnly="1" grandCol="1" outline="0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type="origin" dataOnly="0" labelOnly="1" outline="0" fieldPosition="0"/>
    </format>
    <format dxfId="354">
      <pivotArea field="4" type="button" dataOnly="0" labelOnly="1" outline="0"/>
    </format>
    <format dxfId="353">
      <pivotArea type="topRight" dataOnly="0" labelOnly="1" outline="0" fieldPosition="0"/>
    </format>
    <format dxfId="352">
      <pivotArea field="1" type="button" dataOnly="0" labelOnly="1" outline="0"/>
    </format>
    <format dxfId="351">
      <pivotArea dataOnly="0" labelOnly="1" grandRow="1" outline="0" fieldPosition="0"/>
    </format>
    <format dxfId="350">
      <pivotArea dataOnly="0" labelOnly="1" grandCol="1" outline="0" fieldPosition="0"/>
    </format>
    <format dxfId="349">
      <pivotArea field="1" type="button" dataOnly="0" labelOnly="1" outline="0"/>
    </format>
    <format dxfId="348">
      <pivotArea dataOnly="0" labelOnly="1" grandRow="1" outline="0" fieldPosition="0"/>
    </format>
    <format dxfId="347">
      <pivotArea dataOnly="0" labelOnly="1" grandCol="1" outline="0" fieldPosition="0"/>
    </format>
    <format dxfId="346">
      <pivotArea dataOnly="0" labelOnly="1" grandCol="1" outline="0" fieldPosition="0"/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type="origin" dataOnly="0" labelOnly="1" outline="0" fieldPosition="0"/>
    </format>
    <format dxfId="342">
      <pivotArea field="4" type="button" dataOnly="0" labelOnly="1" outline="0"/>
    </format>
    <format dxfId="341">
      <pivotArea type="topRight" dataOnly="0" labelOnly="1" outline="0" fieldPosition="0"/>
    </format>
    <format dxfId="340">
      <pivotArea field="1" type="button" dataOnly="0" labelOnly="1" outline="0"/>
    </format>
    <format dxfId="339">
      <pivotArea dataOnly="0" labelOnly="1" grandRow="1" outline="0" fieldPosition="0"/>
    </format>
    <format dxfId="338">
      <pivotArea dataOnly="0" labelOnly="1" grandCol="1" outline="0" fieldPosition="0"/>
    </format>
    <format dxfId="337">
      <pivotArea outline="0" collapsedLevelsAreSubtotals="1" fieldPosition="0"/>
    </format>
    <format dxfId="336">
      <pivotArea field="9" type="button" dataOnly="0" labelOnly="1" outline="0" axis="axisPage" fieldPosition="0"/>
    </format>
    <format dxfId="335">
      <pivotArea field="1" type="button" dataOnly="0" labelOnly="1" outline="0"/>
    </format>
    <format dxfId="334">
      <pivotArea dataOnly="0" labelOnly="1" grandCol="1" outline="0" fieldPosition="0"/>
    </format>
    <format dxfId="333">
      <pivotArea field="1" type="button" dataOnly="0" labelOnly="1" outline="0"/>
    </format>
    <format dxfId="332">
      <pivotArea dataOnly="0" labelOnly="1" grandCol="1" outline="0" fieldPosition="0"/>
    </format>
    <format dxfId="331">
      <pivotArea field="1" type="button" dataOnly="0" labelOnly="1" outline="0"/>
    </format>
    <format dxfId="330">
      <pivotArea dataOnly="0" labelOnly="1" grandCol="1" outline="0" fieldPosition="0"/>
    </format>
    <format dxfId="329">
      <pivotArea field="1" type="button" dataOnly="0" labelOnly="1" outline="0"/>
    </format>
    <format dxfId="328">
      <pivotArea field="5" type="button" dataOnly="0" labelOnly="1" outline="0"/>
    </format>
    <format dxfId="32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26">
      <pivotArea dataOnly="0" labelOnly="1" grandCol="1" outline="0" fieldPosition="0"/>
    </format>
    <format dxfId="325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324">
      <pivotArea field="3" grandCol="1" collapsedLevelsAreSubtotals="1" axis="axisRow" fieldPosition="0">
        <references count="1">
          <reference field="3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919F4-5391-4E3E-AD3B-FC14DEF78F42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G14" firstHeaderRow="1" firstDataRow="2" firstDataCol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multipleItemSelectionAllowed="1" showAll="0" sortType="descending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 sortType="descending">
      <items count="8">
        <item x="3"/>
        <item x="2"/>
        <item x="0"/>
        <item x="1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9"/>
  </rowFields>
  <rowItems count="9">
    <i>
      <x v="6"/>
    </i>
    <i>
      <x v="2"/>
    </i>
    <i>
      <x v="5"/>
    </i>
    <i>
      <x v="4"/>
    </i>
    <i>
      <x v="3"/>
    </i>
    <i>
      <x/>
    </i>
    <i>
      <x v="7"/>
    </i>
    <i>
      <x v="1"/>
    </i>
    <i t="grand">
      <x/>
    </i>
  </rowItems>
  <colFields count="1">
    <field x="14"/>
  </colFields>
  <colItems count="6">
    <i>
      <x v="2"/>
    </i>
    <i>
      <x v="1"/>
    </i>
    <i>
      <x v="3"/>
    </i>
    <i>
      <x/>
    </i>
    <i>
      <x v="4"/>
    </i>
    <i t="grand">
      <x/>
    </i>
  </colItems>
  <dataFields count="1">
    <dataField name="Sum of TCV _x000a_(USD Mln.)" fld="18" baseField="0" baseItem="0" numFmtId="164"/>
  </dataFields>
  <formats count="50">
    <format dxfId="323">
      <pivotArea type="all" dataOnly="0" outline="0" fieldPosition="0"/>
    </format>
    <format dxfId="322">
      <pivotArea outline="0" collapsedLevelsAreSubtotals="1" fieldPosition="0"/>
    </format>
    <format dxfId="321">
      <pivotArea type="origin" dataOnly="0" labelOnly="1" outline="0" fieldPosition="0"/>
    </format>
    <format dxfId="320">
      <pivotArea field="4" type="button" dataOnly="0" labelOnly="1" outline="0"/>
    </format>
    <format dxfId="319">
      <pivotArea type="topRight" dataOnly="0" labelOnly="1" outline="0" fieldPosition="0"/>
    </format>
    <format dxfId="318">
      <pivotArea field="1" type="button" dataOnly="0" labelOnly="1" outline="0"/>
    </format>
    <format dxfId="317">
      <pivotArea dataOnly="0" labelOnly="1" grandRow="1" outline="0" fieldPosition="0"/>
    </format>
    <format dxfId="316">
      <pivotArea dataOnly="0" labelOnly="1" grandCol="1" outline="0" fieldPosition="0"/>
    </format>
    <format dxfId="315">
      <pivotArea type="all" dataOnly="0" outline="0" fieldPosition="0"/>
    </format>
    <format dxfId="314">
      <pivotArea outline="0" collapsedLevelsAreSubtotals="1" fieldPosition="0"/>
    </format>
    <format dxfId="313">
      <pivotArea type="origin" dataOnly="0" labelOnly="1" outline="0" fieldPosition="0"/>
    </format>
    <format dxfId="312">
      <pivotArea field="4" type="button" dataOnly="0" labelOnly="1" outline="0"/>
    </format>
    <format dxfId="311">
      <pivotArea type="topRight" dataOnly="0" labelOnly="1" outline="0" fieldPosition="0"/>
    </format>
    <format dxfId="310">
      <pivotArea field="1" type="button" dataOnly="0" labelOnly="1" outline="0"/>
    </format>
    <format dxfId="309">
      <pivotArea dataOnly="0" labelOnly="1" grandRow="1" outline="0" fieldPosition="0"/>
    </format>
    <format dxfId="308">
      <pivotArea dataOnly="0" labelOnly="1" grandCol="1" outline="0" fieldPosition="0"/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type="origin" dataOnly="0" labelOnly="1" outline="0" fieldPosition="0"/>
    </format>
    <format dxfId="304">
      <pivotArea field="4" type="button" dataOnly="0" labelOnly="1" outline="0"/>
    </format>
    <format dxfId="303">
      <pivotArea type="topRight" dataOnly="0" labelOnly="1" outline="0" fieldPosition="0"/>
    </format>
    <format dxfId="302">
      <pivotArea field="1" type="button" dataOnly="0" labelOnly="1" outline="0"/>
    </format>
    <format dxfId="301">
      <pivotArea dataOnly="0" labelOnly="1" grandRow="1" outline="0" fieldPosition="0"/>
    </format>
    <format dxfId="300">
      <pivotArea dataOnly="0" labelOnly="1" grandCol="1" outline="0" fieldPosition="0"/>
    </format>
    <format dxfId="299">
      <pivotArea field="1" type="button" dataOnly="0" labelOnly="1" outline="0"/>
    </format>
    <format dxfId="298">
      <pivotArea dataOnly="0" labelOnly="1" grandRow="1" outline="0" fieldPosition="0"/>
    </format>
    <format dxfId="297">
      <pivotArea dataOnly="0" labelOnly="1" grandCol="1" outline="0" fieldPosition="0"/>
    </format>
    <format dxfId="296">
      <pivotArea dataOnly="0" labelOnly="1" grandCol="1" outline="0" fieldPosition="0"/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type="origin" dataOnly="0" labelOnly="1" outline="0" fieldPosition="0"/>
    </format>
    <format dxfId="292">
      <pivotArea field="4" type="button" dataOnly="0" labelOnly="1" outline="0"/>
    </format>
    <format dxfId="291">
      <pivotArea type="topRight" dataOnly="0" labelOnly="1" outline="0" fieldPosition="0"/>
    </format>
    <format dxfId="290">
      <pivotArea field="1" type="button" dataOnly="0" labelOnly="1" outline="0"/>
    </format>
    <format dxfId="289">
      <pivotArea dataOnly="0" labelOnly="1" grandRow="1" outline="0" fieldPosition="0"/>
    </format>
    <format dxfId="288">
      <pivotArea dataOnly="0" labelOnly="1" grandCol="1" outline="0" fieldPosition="0"/>
    </format>
    <format dxfId="287">
      <pivotArea outline="0" collapsedLevelsAreSubtotals="1" fieldPosition="0"/>
    </format>
    <format dxfId="286">
      <pivotArea field="9" type="button" dataOnly="0" labelOnly="1" outline="0" axis="axisRow" fieldPosition="0"/>
    </format>
    <format dxfId="285">
      <pivotArea field="1" type="button" dataOnly="0" labelOnly="1" outline="0"/>
    </format>
    <format dxfId="284">
      <pivotArea dataOnly="0" labelOnly="1" grandCol="1" outline="0" fieldPosition="0"/>
    </format>
    <format dxfId="283">
      <pivotArea field="1" type="button" dataOnly="0" labelOnly="1" outline="0"/>
    </format>
    <format dxfId="282">
      <pivotArea dataOnly="0" labelOnly="1" grandCol="1" outline="0" fieldPosition="0"/>
    </format>
    <format dxfId="281">
      <pivotArea field="1" type="button" dataOnly="0" labelOnly="1" outline="0"/>
    </format>
    <format dxfId="280">
      <pivotArea dataOnly="0" labelOnly="1" grandCol="1" outline="0" fieldPosition="0"/>
    </format>
    <format dxfId="279">
      <pivotArea field="1" type="button" dataOnly="0" labelOnly="1" outline="0"/>
    </format>
    <format dxfId="278">
      <pivotArea field="5" type="button" dataOnly="0" labelOnly="1" outline="0"/>
    </format>
    <format dxfId="27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6">
      <pivotArea dataOnly="0" labelOnly="1" grandCol="1" outline="0" fieldPosition="0"/>
    </format>
    <format dxfId="275">
      <pivotArea dataOnly="0" labelOnly="1" fieldPosition="0">
        <references count="1">
          <reference field="9" count="0"/>
        </references>
      </pivotArea>
    </format>
    <format dxfId="274">
      <pivotArea field="9" grandCol="1" collapsedLevelsAreSubtotals="1" axis="axisRow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85D76-02C5-4DEA-B12B-60209250E443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J20" firstHeaderRow="1" firstDataRow="2" firstDataCol="1"/>
  <pivotFields count="20">
    <pivotField showAll="0"/>
    <pivotField axis="axisRow"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multipleItemSelectionAllowed="1" showAll="0" sortType="descending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5">
    <i>
      <x v="5"/>
    </i>
    <i>
      <x v="7"/>
    </i>
    <i>
      <x v="6"/>
    </i>
    <i>
      <x v="8"/>
    </i>
    <i>
      <x v="10"/>
    </i>
    <i>
      <x v="19"/>
    </i>
    <i>
      <x v="9"/>
    </i>
    <i>
      <x v="17"/>
    </i>
    <i>
      <x v="13"/>
    </i>
    <i>
      <x v="2"/>
    </i>
    <i>
      <x v="14"/>
    </i>
    <i>
      <x v="15"/>
    </i>
    <i>
      <x v="4"/>
    </i>
    <i>
      <x v="18"/>
    </i>
    <i t="grand">
      <x/>
    </i>
  </rowItems>
  <colFields count="1">
    <field x="9"/>
  </colFields>
  <colItems count="9">
    <i>
      <x v="6"/>
    </i>
    <i>
      <x v="2"/>
    </i>
    <i>
      <x v="5"/>
    </i>
    <i>
      <x v="4"/>
    </i>
    <i>
      <x v="3"/>
    </i>
    <i>
      <x/>
    </i>
    <i>
      <x v="7"/>
    </i>
    <i>
      <x v="1"/>
    </i>
    <i t="grand">
      <x/>
    </i>
  </colItems>
  <dataFields count="1">
    <dataField name="Sum of TCV _x000a_(USD Mln.)" fld="18" baseField="0" baseItem="0" numFmtId="164"/>
  </dataFields>
  <formats count="52"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4" type="button" dataOnly="0" labelOnly="1" outline="0"/>
    </format>
    <format dxfId="269">
      <pivotArea type="topRight" dataOnly="0" labelOnly="1" outline="0" fieldPosition="0"/>
    </format>
    <format dxfId="268">
      <pivotArea field="1" type="button" dataOnly="0" labelOnly="1" outline="0" axis="axisRow" fieldPosition="0"/>
    </format>
    <format dxfId="267">
      <pivotArea dataOnly="0" labelOnly="1" grandRow="1" outline="0" fieldPosition="0"/>
    </format>
    <format dxfId="266">
      <pivotArea dataOnly="0" labelOnly="1" grandCol="1" outline="0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type="origin" dataOnly="0" labelOnly="1" outline="0" fieldPosition="0"/>
    </format>
    <format dxfId="262">
      <pivotArea field="4" type="button" dataOnly="0" labelOnly="1" outline="0"/>
    </format>
    <format dxfId="261">
      <pivotArea type="topRight" dataOnly="0" labelOnly="1" outline="0" fieldPosition="0"/>
    </format>
    <format dxfId="260">
      <pivotArea field="1" type="button" dataOnly="0" labelOnly="1" outline="0" axis="axisRow" fieldPosition="0"/>
    </format>
    <format dxfId="259">
      <pivotArea dataOnly="0" labelOnly="1" grandRow="1" outline="0" fieldPosition="0"/>
    </format>
    <format dxfId="258">
      <pivotArea dataOnly="0" labelOnly="1" grandCol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4" type="button" dataOnly="0" labelOnly="1" outline="0"/>
    </format>
    <format dxfId="253">
      <pivotArea type="topRight" dataOnly="0" labelOnly="1" outline="0" fieldPosition="0"/>
    </format>
    <format dxfId="252">
      <pivotArea field="1" type="button" dataOnly="0" labelOnly="1" outline="0" axis="axisRow" fieldPosition="0"/>
    </format>
    <format dxfId="251">
      <pivotArea dataOnly="0" labelOnly="1" grandRow="1" outline="0" fieldPosition="0"/>
    </format>
    <format dxfId="250">
      <pivotArea dataOnly="0" labelOnly="1" grandCol="1" outline="0" fieldPosition="0"/>
    </format>
    <format dxfId="249">
      <pivotArea field="1" type="button" dataOnly="0" labelOnly="1" outline="0" axis="axisRow" fieldPosition="0"/>
    </format>
    <format dxfId="248">
      <pivotArea dataOnly="0" labelOnly="1" grandRow="1" outline="0" fieldPosition="0"/>
    </format>
    <format dxfId="247">
      <pivotArea dataOnly="0" labelOnly="1" grandCol="1" outline="0" fieldPosition="0"/>
    </format>
    <format dxfId="246">
      <pivotArea dataOnly="0" labelOnly="1" grandCol="1" outline="0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type="origin" dataOnly="0" labelOnly="1" outline="0" fieldPosition="0"/>
    </format>
    <format dxfId="242">
      <pivotArea field="4" type="button" dataOnly="0" labelOnly="1" outline="0"/>
    </format>
    <format dxfId="241">
      <pivotArea type="topRight" dataOnly="0" labelOnly="1" outline="0" fieldPosition="0"/>
    </format>
    <format dxfId="240">
      <pivotArea field="1" type="button" dataOnly="0" labelOnly="1" outline="0" axis="axisRow" fieldPosition="0"/>
    </format>
    <format dxfId="239">
      <pivotArea dataOnly="0" labelOnly="1" grandRow="1" outline="0" fieldPosition="0"/>
    </format>
    <format dxfId="238">
      <pivotArea dataOnly="0" labelOnly="1" grandCol="1" outline="0" fieldPosition="0"/>
    </format>
    <format dxfId="237">
      <pivotArea outline="0" collapsedLevelsAreSubtotals="1" fieldPosition="0"/>
    </format>
    <format dxfId="236">
      <pivotArea field="9" type="button" dataOnly="0" labelOnly="1" outline="0" axis="axisCol" fieldPosition="0"/>
    </format>
    <format dxfId="235">
      <pivotArea field="1" type="button" dataOnly="0" labelOnly="1" outline="0" axis="axisRow" fieldPosition="0"/>
    </format>
    <format dxfId="234">
      <pivotArea dataOnly="0" labelOnly="1" grandCol="1" outline="0" fieldPosition="0"/>
    </format>
    <format dxfId="233">
      <pivotArea field="1" type="button" dataOnly="0" labelOnly="1" outline="0" axis="axisRow" fieldPosition="0"/>
    </format>
    <format dxfId="232">
      <pivotArea dataOnly="0" labelOnly="1" grandCol="1" outline="0" fieldPosition="0"/>
    </format>
    <format dxfId="231">
      <pivotArea field="5" type="button" dataOnly="0" labelOnly="1" outline="0"/>
    </format>
    <format dxfId="230">
      <pivotArea dataOnly="0" labelOnly="1" fieldPosition="0">
        <references count="1">
          <reference field="9" count="0"/>
        </references>
      </pivotArea>
    </format>
    <format dxfId="229">
      <pivotArea field="1" type="button" dataOnly="0" labelOnly="1" outline="0" axis="axisRow" fieldPosition="0"/>
    </format>
    <format dxfId="228">
      <pivotArea dataOnly="0" labelOnly="1" fieldPosition="0">
        <references count="1">
          <reference field="9" count="0"/>
        </references>
      </pivotArea>
    </format>
    <format dxfId="227">
      <pivotArea dataOnly="0" labelOnly="1" grandCol="1" outline="0" fieldPosition="0"/>
    </format>
    <format dxfId="226">
      <pivotArea field="1" type="button" dataOnly="0" labelOnly="1" outline="0" axis="axisRow" fieldPosition="0"/>
    </format>
    <format dxfId="225">
      <pivotArea dataOnly="0" labelOnly="1" fieldPosition="0">
        <references count="1">
          <reference field="9" count="0"/>
        </references>
      </pivotArea>
    </format>
    <format dxfId="224">
      <pivotArea dataOnly="0" labelOnly="1" grandCol="1" outline="0" fieldPosition="0"/>
    </format>
    <format dxfId="223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2">
      <pivotArea field="1" grandCol="1" collapsedLevelsAreSubtotals="1" axis="axisRow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9C3D8-84DC-405F-B291-893B5E094020}" name="PivotTable2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10:J14" firstHeaderRow="1" firstDataRow="2" firstDataCol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multipleItemSelectionAllowed="1" showAll="0" sortType="descending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9"/>
  </colFields>
  <colItems count="9">
    <i>
      <x v="6"/>
    </i>
    <i>
      <x v="2"/>
    </i>
    <i>
      <x v="5"/>
    </i>
    <i>
      <x v="4"/>
    </i>
    <i>
      <x v="3"/>
    </i>
    <i>
      <x/>
    </i>
    <i>
      <x v="7"/>
    </i>
    <i>
      <x v="1"/>
    </i>
    <i t="grand">
      <x/>
    </i>
  </colItems>
  <dataFields count="1">
    <dataField name="Sum of TCV _x000a_(USD Mln.)" fld="18" baseField="0" baseItem="0" numFmtId="164"/>
  </dataFields>
  <formats count="51"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4" type="button" dataOnly="0" labelOnly="1" outline="0"/>
    </format>
    <format dxfId="166">
      <pivotArea type="topRight" dataOnly="0" labelOnly="1" outline="0" fieldPosition="0"/>
    </format>
    <format dxfId="165">
      <pivotArea field="1" type="button" dataOnly="0" labelOnly="1" outline="0"/>
    </format>
    <format dxfId="164">
      <pivotArea dataOnly="0" labelOnly="1" grandRow="1" outline="0" fieldPosition="0"/>
    </format>
    <format dxfId="163">
      <pivotArea dataOnly="0" labelOnly="1" grandCol="1" outline="0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4" type="button" dataOnly="0" labelOnly="1" outline="0"/>
    </format>
    <format dxfId="158">
      <pivotArea type="topRight" dataOnly="0" labelOnly="1" outline="0" fieldPosition="0"/>
    </format>
    <format dxfId="157">
      <pivotArea field="1" type="button" dataOnly="0" labelOnly="1" outline="0"/>
    </format>
    <format dxfId="156">
      <pivotArea dataOnly="0" labelOnly="1" grandRow="1" outline="0" fieldPosition="0"/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4" type="button" dataOnly="0" labelOnly="1" outline="0"/>
    </format>
    <format dxfId="150">
      <pivotArea type="topRight" dataOnly="0" labelOnly="1" outline="0" fieldPosition="0"/>
    </format>
    <format dxfId="149">
      <pivotArea field="1" type="button" dataOnly="0" labelOnly="1" outline="0"/>
    </format>
    <format dxfId="148">
      <pivotArea dataOnly="0" labelOnly="1" grandRow="1" outline="0" fieldPosition="0"/>
    </format>
    <format dxfId="147">
      <pivotArea dataOnly="0" labelOnly="1" grandCol="1" outline="0" fieldPosition="0"/>
    </format>
    <format dxfId="146">
      <pivotArea field="1" type="button" dataOnly="0" labelOnly="1" outline="0"/>
    </format>
    <format dxfId="145">
      <pivotArea dataOnly="0" labelOnly="1" grandRow="1" outline="0" fieldPosition="0"/>
    </format>
    <format dxfId="144">
      <pivotArea dataOnly="0" labelOnly="1" grandCol="1" outline="0" fieldPosition="0"/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4" type="button" dataOnly="0" labelOnly="1" outline="0"/>
    </format>
    <format dxfId="138">
      <pivotArea type="topRight" dataOnly="0" labelOnly="1" outline="0" fieldPosition="0"/>
    </format>
    <format dxfId="137">
      <pivotArea field="1" type="button" dataOnly="0" labelOnly="1" outline="0"/>
    </format>
    <format dxfId="136">
      <pivotArea dataOnly="0" labelOnly="1" grandRow="1" outline="0" fieldPosition="0"/>
    </format>
    <format dxfId="135">
      <pivotArea dataOnly="0" labelOnly="1" grandCol="1" outline="0" fieldPosition="0"/>
    </format>
    <format dxfId="134">
      <pivotArea outline="0" collapsedLevelsAreSubtotals="1" fieldPosition="0"/>
    </format>
    <format dxfId="133">
      <pivotArea field="9" type="button" dataOnly="0" labelOnly="1" outline="0" axis="axisCol" fieldPosition="0"/>
    </format>
    <format dxfId="132">
      <pivotArea field="1" type="button" dataOnly="0" labelOnly="1" outline="0"/>
    </format>
    <format dxfId="131">
      <pivotArea dataOnly="0" labelOnly="1" grandCol="1" outline="0" fieldPosition="0"/>
    </format>
    <format dxfId="130">
      <pivotArea field="1" type="button" dataOnly="0" labelOnly="1" outline="0"/>
    </format>
    <format dxfId="129">
      <pivotArea dataOnly="0" labelOnly="1" grandCol="1" outline="0" fieldPosition="0"/>
    </format>
    <format dxfId="128">
      <pivotArea field="5" type="button" dataOnly="0" labelOnly="1" outline="0"/>
    </format>
    <format dxfId="127">
      <pivotArea dataOnly="0" labelOnly="1" fieldPosition="0">
        <references count="1">
          <reference field="9" count="0"/>
        </references>
      </pivotArea>
    </format>
    <format dxfId="126">
      <pivotArea field="1" type="button" dataOnly="0" labelOnly="1" outline="0"/>
    </format>
    <format dxfId="125">
      <pivotArea dataOnly="0" labelOnly="1" fieldPosition="0">
        <references count="1">
          <reference field="9" count="0"/>
        </references>
      </pivotArea>
    </format>
    <format dxfId="124">
      <pivotArea dataOnly="0" labelOnly="1" grandCol="1" outline="0" fieldPosition="0"/>
    </format>
    <format dxfId="123">
      <pivotArea field="1" type="button" dataOnly="0" labelOnly="1" outline="0"/>
    </format>
    <format dxfId="122">
      <pivotArea dataOnly="0" labelOnly="1" fieldPosition="0">
        <references count="1">
          <reference field="9" count="0"/>
        </references>
      </pivotArea>
    </format>
    <format dxfId="121">
      <pivotArea dataOnly="0" labelOnly="1" grandCol="1" outline="0" fieldPosition="0"/>
    </format>
    <format dxfId="120">
      <pivotArea dataOnly="0" labelOnly="1" fieldPosition="0">
        <references count="1">
          <reference field="8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44B46-4E4E-46E8-B3E6-CEB92AA538C1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2:J8" firstHeaderRow="1" firstDataRow="2" firstDataCol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multipleItemSelectionAllowed="1" showAll="0" sortType="descending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7"/>
  </rowFields>
  <rowItems count="5">
    <i>
      <x v="1"/>
    </i>
    <i>
      <x v="3"/>
    </i>
    <i>
      <x/>
    </i>
    <i>
      <x v="2"/>
    </i>
    <i t="grand">
      <x/>
    </i>
  </rowItems>
  <colFields count="1">
    <field x="9"/>
  </colFields>
  <colItems count="9">
    <i>
      <x v="6"/>
    </i>
    <i>
      <x v="2"/>
    </i>
    <i>
      <x v="5"/>
    </i>
    <i>
      <x v="4"/>
    </i>
    <i>
      <x v="3"/>
    </i>
    <i>
      <x/>
    </i>
    <i>
      <x v="7"/>
    </i>
    <i>
      <x v="1"/>
    </i>
    <i t="grand">
      <x/>
    </i>
  </colItems>
  <dataFields count="1">
    <dataField name="Sum of TCV _x000a_(USD Mln.)" fld="18" baseField="0" baseItem="0" numFmtId="164"/>
  </dataFields>
  <formats count="51">
    <format dxfId="221">
      <pivotArea type="all" dataOnly="0" outline="0" fieldPosition="0"/>
    </format>
    <format dxfId="220">
      <pivotArea outline="0" collapsedLevelsAreSubtotals="1" fieldPosition="0"/>
    </format>
    <format dxfId="219">
      <pivotArea type="origin" dataOnly="0" labelOnly="1" outline="0" fieldPosition="0"/>
    </format>
    <format dxfId="218">
      <pivotArea field="4" type="button" dataOnly="0" labelOnly="1" outline="0"/>
    </format>
    <format dxfId="217">
      <pivotArea type="topRight" dataOnly="0" labelOnly="1" outline="0" fieldPosition="0"/>
    </format>
    <format dxfId="216">
      <pivotArea field="1" type="button" dataOnly="0" labelOnly="1" outline="0"/>
    </format>
    <format dxfId="215">
      <pivotArea dataOnly="0" labelOnly="1" grandRow="1" outline="0" fieldPosition="0"/>
    </format>
    <format dxfId="214">
      <pivotArea dataOnly="0" labelOnly="1" grandCol="1" outline="0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type="origin" dataOnly="0" labelOnly="1" outline="0" fieldPosition="0"/>
    </format>
    <format dxfId="210">
      <pivotArea field="4" type="button" dataOnly="0" labelOnly="1" outline="0"/>
    </format>
    <format dxfId="209">
      <pivotArea type="topRight" dataOnly="0" labelOnly="1" outline="0" fieldPosition="0"/>
    </format>
    <format dxfId="208">
      <pivotArea field="1" type="button" dataOnly="0" labelOnly="1" outline="0"/>
    </format>
    <format dxfId="207">
      <pivotArea dataOnly="0" labelOnly="1" grandRow="1" outline="0" fieldPosition="0"/>
    </format>
    <format dxfId="206">
      <pivotArea dataOnly="0" labelOnly="1" grandCol="1" outline="0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type="origin" dataOnly="0" labelOnly="1" outline="0" fieldPosition="0"/>
    </format>
    <format dxfId="202">
      <pivotArea field="4" type="button" dataOnly="0" labelOnly="1" outline="0"/>
    </format>
    <format dxfId="201">
      <pivotArea type="topRight" dataOnly="0" labelOnly="1" outline="0" fieldPosition="0"/>
    </format>
    <format dxfId="200">
      <pivotArea field="1" type="button" dataOnly="0" labelOnly="1" outline="0"/>
    </format>
    <format dxfId="199">
      <pivotArea dataOnly="0" labelOnly="1" grandRow="1" outline="0" fieldPosition="0"/>
    </format>
    <format dxfId="198">
      <pivotArea dataOnly="0" labelOnly="1" grandCol="1" outline="0" fieldPosition="0"/>
    </format>
    <format dxfId="197">
      <pivotArea field="1" type="button" dataOnly="0" labelOnly="1" outline="0"/>
    </format>
    <format dxfId="196">
      <pivotArea dataOnly="0" labelOnly="1" grandRow="1" outline="0" fieldPosition="0"/>
    </format>
    <format dxfId="195">
      <pivotArea dataOnly="0" labelOnly="1" grandCol="1" outline="0" fieldPosition="0"/>
    </format>
    <format dxfId="194">
      <pivotArea dataOnly="0" labelOnly="1" grandCol="1" outline="0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4" type="button" dataOnly="0" labelOnly="1" outline="0"/>
    </format>
    <format dxfId="189">
      <pivotArea type="topRight" dataOnly="0" labelOnly="1" outline="0" fieldPosition="0"/>
    </format>
    <format dxfId="188">
      <pivotArea field="1" type="button" dataOnly="0" labelOnly="1" outline="0"/>
    </format>
    <format dxfId="187">
      <pivotArea dataOnly="0" labelOnly="1" grandRow="1" outline="0" fieldPosition="0"/>
    </format>
    <format dxfId="186">
      <pivotArea dataOnly="0" labelOnly="1" grandCol="1" outline="0" fieldPosition="0"/>
    </format>
    <format dxfId="185">
      <pivotArea outline="0" collapsedLevelsAreSubtotals="1" fieldPosition="0"/>
    </format>
    <format dxfId="184">
      <pivotArea field="9" type="button" dataOnly="0" labelOnly="1" outline="0" axis="axisCol" fieldPosition="0"/>
    </format>
    <format dxfId="183">
      <pivotArea field="1" type="button" dataOnly="0" labelOnly="1" outline="0"/>
    </format>
    <format dxfId="182">
      <pivotArea dataOnly="0" labelOnly="1" grandCol="1" outline="0" fieldPosition="0"/>
    </format>
    <format dxfId="181">
      <pivotArea field="1" type="button" dataOnly="0" labelOnly="1" outline="0"/>
    </format>
    <format dxfId="180">
      <pivotArea dataOnly="0" labelOnly="1" grandCol="1" outline="0" fieldPosition="0"/>
    </format>
    <format dxfId="179">
      <pivotArea field="5" type="button" dataOnly="0" labelOnly="1" outline="0"/>
    </format>
    <format dxfId="178">
      <pivotArea dataOnly="0" labelOnly="1" fieldPosition="0">
        <references count="1">
          <reference field="9" count="0"/>
        </references>
      </pivotArea>
    </format>
    <format dxfId="177">
      <pivotArea field="1" type="button" dataOnly="0" labelOnly="1" outline="0"/>
    </format>
    <format dxfId="176">
      <pivotArea dataOnly="0" labelOnly="1" fieldPosition="0">
        <references count="1">
          <reference field="9" count="0"/>
        </references>
      </pivotArea>
    </format>
    <format dxfId="175">
      <pivotArea dataOnly="0" labelOnly="1" grandCol="1" outline="0" fieldPosition="0"/>
    </format>
    <format dxfId="174">
      <pivotArea field="1" type="button" dataOnly="0" labelOnly="1" outline="0"/>
    </format>
    <format dxfId="173">
      <pivotArea dataOnly="0" labelOnly="1" fieldPosition="0">
        <references count="1">
          <reference field="9" count="0"/>
        </references>
      </pivotArea>
    </format>
    <format dxfId="172">
      <pivotArea dataOnly="0" labelOnly="1" grandCol="1" outline="0" fieldPosition="0"/>
    </format>
    <format dxfId="171">
      <pivotArea dataOnly="0" labelOnly="1" fieldPosition="0">
        <references count="1">
          <reference field="7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2EDA0-A15A-41B4-AF7B-7C4BDCDF5440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J20" firstHeaderRow="1" firstDataRow="2" firstDataCol="1"/>
  <pivotFields count="20">
    <pivotField showAll="0"/>
    <pivotField axis="axisRow" showAll="0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showAll="0"/>
    <pivotField showAll="0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</pivotField>
    <pivotField showAll="0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</pivotField>
    <pivotField showAll="0"/>
    <pivotField showAll="0"/>
    <pivotField showAll="0"/>
    <pivotField axis="axisCol" multipleItemSelectionAllowed="1" showAll="0">
      <items count="12">
        <item x="8"/>
        <item x="3"/>
        <item x="5"/>
        <item x="4"/>
        <item x="2"/>
        <item x="9"/>
        <item x="1"/>
        <item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1"/>
  </rowFields>
  <rowItems count="15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5"/>
    </i>
    <i>
      <x v="17"/>
    </i>
    <i>
      <x v="18"/>
    </i>
    <i>
      <x v="19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Description" fld="2" subtotal="count" baseField="0" baseItem="0" numFmtId="165"/>
  </dataFields>
  <formats count="52"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4" type="button" dataOnly="0" labelOnly="1" outline="0"/>
    </format>
    <format dxfId="115">
      <pivotArea type="topRight" dataOnly="0" labelOnly="1" outline="0" fieldPosition="0"/>
    </format>
    <format dxfId="114">
      <pivotArea field="1" type="button" dataOnly="0" labelOnly="1" outline="0" axis="axisRow" fieldPosition="0"/>
    </format>
    <format dxfId="113">
      <pivotArea dataOnly="0" labelOnly="1" grandRow="1" outline="0" fieldPosition="0"/>
    </format>
    <format dxfId="112">
      <pivotArea dataOnly="0" labelOnly="1" grandCol="1" outline="0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4" type="button" dataOnly="0" labelOnly="1" outline="0"/>
    </format>
    <format dxfId="107">
      <pivotArea type="topRight" dataOnly="0" labelOnly="1" outline="0" fieldPosition="0"/>
    </format>
    <format dxfId="106">
      <pivotArea field="1" type="button" dataOnly="0" labelOnly="1" outline="0" axis="axisRow" fieldPosition="0"/>
    </format>
    <format dxfId="105">
      <pivotArea dataOnly="0" labelOnly="1" grandRow="1" outline="0" fieldPosition="0"/>
    </format>
    <format dxfId="104">
      <pivotArea dataOnly="0" labelOnly="1" grandCol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4" type="button" dataOnly="0" labelOnly="1" outline="0"/>
    </format>
    <format dxfId="99">
      <pivotArea type="topRight" dataOnly="0" labelOnly="1" outline="0" fieldPosition="0"/>
    </format>
    <format dxfId="98">
      <pivotArea field="1" type="button" dataOnly="0" labelOnly="1" outline="0" axis="axisRow" fieldPosition="0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field="1" type="button" dataOnly="0" labelOnly="1" outline="0" axis="axisRow" fieldPosition="0"/>
    </format>
    <format dxfId="94">
      <pivotArea dataOnly="0" labelOnly="1" grandRow="1" outline="0" fieldPosition="0"/>
    </format>
    <format dxfId="93">
      <pivotArea dataOnly="0" labelOnly="1" grandCol="1" outline="0" fieldPosition="0"/>
    </format>
    <format dxfId="92">
      <pivotArea dataOnly="0" labelOnly="1" grandCol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4" type="button" dataOnly="0" labelOnly="1" outline="0"/>
    </format>
    <format dxfId="87">
      <pivotArea type="topRight" dataOnly="0" labelOnly="1" outline="0" fieldPosition="0"/>
    </format>
    <format dxfId="86">
      <pivotArea field="1" type="button" dataOnly="0" labelOnly="1" outline="0" axis="axisRow" fieldPosition="0"/>
    </format>
    <format dxfId="85">
      <pivotArea dataOnly="0" labelOnly="1" grandRow="1" outline="0" fieldPosition="0"/>
    </format>
    <format dxfId="84">
      <pivotArea dataOnly="0" labelOnly="1" grandCol="1" outline="0" fieldPosition="0"/>
    </format>
    <format dxfId="83">
      <pivotArea field="9" type="button" dataOnly="0" labelOnly="1" outline="0" axis="axisCol" fieldPosition="0"/>
    </format>
    <format dxfId="82">
      <pivotArea field="1" type="button" dataOnly="0" labelOnly="1" outline="0" axis="axisRow" fieldPosition="0"/>
    </format>
    <format dxfId="81">
      <pivotArea dataOnly="0" labelOnly="1" grandCol="1" outline="0" fieldPosition="0"/>
    </format>
    <format dxfId="80">
      <pivotArea field="1" type="button" dataOnly="0" labelOnly="1" outline="0" axis="axisRow" fieldPosition="0"/>
    </format>
    <format dxfId="79">
      <pivotArea dataOnly="0" labelOnly="1" grandCol="1" outline="0" fieldPosition="0"/>
    </format>
    <format dxfId="78">
      <pivotArea field="5" type="button" dataOnly="0" labelOnly="1" outline="0"/>
    </format>
    <format dxfId="77">
      <pivotArea dataOnly="0" labelOnly="1" fieldPosition="0">
        <references count="1">
          <reference field="9" count="0"/>
        </references>
      </pivotArea>
    </format>
    <format dxfId="76">
      <pivotArea field="1" type="button" dataOnly="0" labelOnly="1" outline="0" axis="axisRow" fieldPosition="0"/>
    </format>
    <format dxfId="75">
      <pivotArea dataOnly="0" labelOnly="1" fieldPosition="0">
        <references count="1">
          <reference field="9" count="0"/>
        </references>
      </pivotArea>
    </format>
    <format dxfId="74">
      <pivotArea dataOnly="0" labelOnly="1" grandCol="1" outline="0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9" count="0"/>
        </references>
      </pivotArea>
    </format>
    <format dxfId="71">
      <pivotArea dataOnly="0" labelOnly="1" grandCol="1" outline="0" fieldPosition="0"/>
    </format>
    <format dxfId="70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9">
      <pivotArea field="1" grandCol="1" collapsedLevelsAreSubtotals="1" axis="axisRow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F1693-8C34-4A4C-9447-399A993E3171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H10" firstHeaderRow="1" firstDataRow="2" firstDataCol="1"/>
  <pivotFields count="20">
    <pivotField showAll="0"/>
    <pivotField showAll="0" sortType="descending">
      <items count="21">
        <item n="Royal Enfield" x="0"/>
        <item x="1"/>
        <item x="8"/>
        <item x="2"/>
        <item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multipleItemSelectionAllowed="1" showAll="0">
      <items count="12">
        <item x="8"/>
        <item x="3"/>
        <item x="5"/>
        <item x="4"/>
        <item x="2"/>
        <item x="9"/>
        <item h="1" x="6"/>
        <item h="1" x="0"/>
        <item h="1" x="1"/>
        <item h="1" x="7"/>
        <item h="1" x="10"/>
        <item t="default"/>
      </items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/>
  </pivotFields>
  <rowFields count="1">
    <field x="4"/>
  </rowFields>
  <rowItems count="5">
    <i>
      <x v="15"/>
    </i>
    <i>
      <x v="13"/>
    </i>
    <i>
      <x v="12"/>
    </i>
    <i>
      <x v="14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CV _x000a_(USD Mln.)" fld="18" baseField="0" baseItem="0" numFmtId="164"/>
  </dataFields>
  <formats count="53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4" type="button" dataOnly="0" labelOnly="1" outline="0" axis="axisRow" fieldPosition="0"/>
    </format>
    <format dxfId="63">
      <pivotArea type="topRight" dataOnly="0" labelOnly="1" outline="0" fieldPosition="0"/>
    </format>
    <format dxfId="62">
      <pivotArea field="1" type="button" dataOnly="0" labelOnly="1" outline="0"/>
    </format>
    <format dxfId="61">
      <pivotArea dataOnly="0" labelOnly="1" grandRow="1" outline="0" fieldPosition="0"/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4" type="button" dataOnly="0" labelOnly="1" outline="0" axis="axisRow" fieldPosition="0"/>
    </format>
    <format dxfId="55">
      <pivotArea type="topRight" dataOnly="0" labelOnly="1" outline="0" fieldPosition="0"/>
    </format>
    <format dxfId="54">
      <pivotArea field="1" type="button" dataOnly="0" labelOnly="1" outline="0"/>
    </format>
    <format dxfId="53">
      <pivotArea dataOnly="0" labelOnly="1" grandRow="1" outline="0" fieldPosition="0"/>
    </format>
    <format dxfId="52">
      <pivotArea dataOnly="0" labelOnly="1" grandCol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4" type="button" dataOnly="0" labelOnly="1" outline="0" axis="axisRow" fieldPosition="0"/>
    </format>
    <format dxfId="47">
      <pivotArea type="topRight" dataOnly="0" labelOnly="1" outline="0" fieldPosition="0"/>
    </format>
    <format dxfId="46">
      <pivotArea field="1" type="button" dataOnly="0" labelOnly="1" outline="0"/>
    </format>
    <format dxfId="45">
      <pivotArea dataOnly="0" labelOnly="1" grandRow="1" outline="0" fieldPosition="0"/>
    </format>
    <format dxfId="44">
      <pivotArea dataOnly="0" labelOnly="1" grandCol="1" outline="0" fieldPosition="0"/>
    </format>
    <format dxfId="43">
      <pivotArea field="1" type="button" dataOnly="0" labelOnly="1" outline="0"/>
    </format>
    <format dxfId="42">
      <pivotArea dataOnly="0" labelOnly="1" grandRow="1" outline="0" fieldPosition="0"/>
    </format>
    <format dxfId="41">
      <pivotArea dataOnly="0" labelOnly="1" grandCol="1" outline="0" fieldPosition="0"/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4" type="button" dataOnly="0" labelOnly="1" outline="0" axis="axisRow" fieldPosition="0"/>
    </format>
    <format dxfId="35">
      <pivotArea type="topRight" dataOnly="0" labelOnly="1" outline="0" fieldPosition="0"/>
    </format>
    <format dxfId="34">
      <pivotArea field="1" type="button" dataOnly="0" labelOnly="1" outline="0"/>
    </format>
    <format dxfId="33">
      <pivotArea dataOnly="0" labelOnly="1" grandRow="1" outline="0" fieldPosition="0"/>
    </format>
    <format dxfId="32">
      <pivotArea dataOnly="0" labelOnly="1" grandCol="1" outline="0" fieldPosition="0"/>
    </format>
    <format dxfId="31">
      <pivotArea outline="0" collapsedLevelsAreSubtotals="1" fieldPosition="0"/>
    </format>
    <format dxfId="30">
      <pivotArea field="9" type="button" dataOnly="0" labelOnly="1" outline="0" axis="axisCol" fieldPosition="0"/>
    </format>
    <format dxfId="29">
      <pivotArea field="1" type="button" dataOnly="0" labelOnly="1" outline="0"/>
    </format>
    <format dxfId="28">
      <pivotArea dataOnly="0" labelOnly="1" grandCol="1" outline="0" fieldPosition="0"/>
    </format>
    <format dxfId="27">
      <pivotArea field="1" type="button" dataOnly="0" labelOnly="1" outline="0"/>
    </format>
    <format dxfId="26">
      <pivotArea dataOnly="0" labelOnly="1" grandCol="1" outline="0" fieldPosition="0"/>
    </format>
    <format dxfId="25">
      <pivotArea field="5" type="button" dataOnly="0" labelOnly="1" outline="0"/>
    </format>
    <format dxfId="24">
      <pivotArea dataOnly="0" labelOnly="1" fieldPosition="0">
        <references count="1">
          <reference field="9" count="0"/>
        </references>
      </pivotArea>
    </format>
    <format dxfId="23">
      <pivotArea field="1" type="button" dataOnly="0" labelOnly="1" outline="0"/>
    </format>
    <format dxfId="22">
      <pivotArea dataOnly="0" labelOnly="1" fieldPosition="0">
        <references count="1">
          <reference field="9" count="0"/>
        </references>
      </pivotArea>
    </format>
    <format dxfId="21">
      <pivotArea dataOnly="0" labelOnly="1" grandCol="1" outline="0" fieldPosition="0"/>
    </format>
    <format dxfId="20">
      <pivotArea field="1" type="button" dataOnly="0" labelOnly="1" outline="0"/>
    </format>
    <format dxfId="19">
      <pivotArea dataOnly="0" labelOnly="1" fieldPosition="0">
        <references count="1">
          <reference field="9" count="0"/>
        </references>
      </pivotArea>
    </format>
    <format dxfId="18">
      <pivotArea dataOnly="0" labelOnly="1" grandCol="1" outline="0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4">
            <x v="12"/>
            <x v="13"/>
            <x v="14"/>
            <x v="15"/>
          </reference>
        </references>
      </pivotArea>
    </format>
    <format dxfId="15">
      <pivotArea field="4" grandCol="1" collapsedLevelsAreSubtotals="1" axis="axisRow" fieldPosition="0">
        <references count="1">
          <reference field="4" count="4">
            <x v="12"/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AA5A8-F80D-4D92-8D05-E8CF9B0B0FFF}" name="PivotTable1" cacheId="0" applyNumberFormats="0" applyBorderFormats="0" applyFontFormats="0" applyPatternFormats="0" applyAlignmentFormats="0" applyWidthHeightFormats="1" dataCaption="Values" missingCaption="-" updatedVersion="8" minRefreshableVersion="3" itemPrintTitles="1" createdVersion="8" indent="0" outline="1" outlineData="1" multipleFieldFilters="0">
  <location ref="A4:D17" firstHeaderRow="1" firstDataRow="2" firstDataCol="1" rowPageCount="1" colPageCount="1"/>
  <pivotFields count="20">
    <pivotField showAll="0"/>
    <pivotField axis="axisRow" showAll="0" sortType="descending">
      <items count="21">
        <item n="Royal Enfield" x="0"/>
        <item x="1"/>
        <item x="8"/>
        <item x="2"/>
        <item h="1" x="10"/>
        <item x="3"/>
        <item x="4"/>
        <item x="6"/>
        <item x="5"/>
        <item x="7"/>
        <item x="9"/>
        <item x="11"/>
        <item x="19"/>
        <item x="12"/>
        <item x="13"/>
        <item x="14"/>
        <item x="15"/>
        <item x="16"/>
        <item h="1"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0"/>
        <item x="1"/>
        <item x="2"/>
        <item t="default"/>
      </items>
    </pivotField>
    <pivotField showAll="0" sortType="descending">
      <items count="17">
        <item m="1" x="14"/>
        <item m="1" x="10"/>
        <item m="1" x="13"/>
        <item m="1" x="5"/>
        <item m="1" x="15"/>
        <item m="1" x="7"/>
        <item m="1" x="9"/>
        <item m="1" x="6"/>
        <item m="1" x="11"/>
        <item m="1" x="12"/>
        <item m="1" x="8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1"/>
        <item x="9"/>
        <item x="0"/>
        <item x="5"/>
        <item x="6"/>
        <item x="10"/>
        <item x="8"/>
        <item x="3"/>
        <item x="7"/>
        <item x="2"/>
        <item x="4"/>
        <item x="14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2">
        <item x="8"/>
        <item x="3"/>
        <item x="5"/>
        <item x="4"/>
        <item x="2"/>
        <item x="9"/>
        <item h="1" x="1"/>
        <item h="1" x="7"/>
        <item h="1" x="10"/>
        <item h="1"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2">
    <i>
      <x v="7"/>
    </i>
    <i>
      <x v="5"/>
    </i>
    <i>
      <x v="6"/>
    </i>
    <i>
      <x v="19"/>
    </i>
    <i>
      <x v="8"/>
    </i>
    <i>
      <x v="9"/>
    </i>
    <i>
      <x v="17"/>
    </i>
    <i>
      <x v="13"/>
    </i>
    <i>
      <x v="2"/>
    </i>
    <i>
      <x v="14"/>
    </i>
    <i>
      <x v="15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9" hier="-1"/>
  </pageFields>
  <dataFields count="1">
    <dataField name="Sum of TCV _x000a_(USD Mln.)" fld="18" baseField="0" baseItem="0" numFmtId="164"/>
  </dataFields>
  <formats count="57">
    <format dxfId="597">
      <pivotArea type="all" dataOnly="0" outline="0" fieldPosition="0"/>
    </format>
    <format dxfId="596">
      <pivotArea outline="0" collapsedLevelsAreSubtotals="1" fieldPosition="0"/>
    </format>
    <format dxfId="595">
      <pivotArea type="origin" dataOnly="0" labelOnly="1" outline="0" fieldPosition="0"/>
    </format>
    <format dxfId="594">
      <pivotArea field="4" type="button" dataOnly="0" labelOnly="1" outline="0"/>
    </format>
    <format dxfId="593">
      <pivotArea type="topRight" dataOnly="0" labelOnly="1" outline="0" fieldPosition="0"/>
    </format>
    <format dxfId="592">
      <pivotArea field="1" type="button" dataOnly="0" labelOnly="1" outline="0" axis="axisRow" fieldPosition="0"/>
    </format>
    <format dxfId="591">
      <pivotArea dataOnly="0" labelOnly="1" fieldPosition="0">
        <references count="1">
          <reference field="1" count="0"/>
        </references>
      </pivotArea>
    </format>
    <format dxfId="590">
      <pivotArea dataOnly="0" labelOnly="1" grandRow="1" outline="0" fieldPosition="0"/>
    </format>
    <format dxfId="589">
      <pivotArea dataOnly="0" labelOnly="1" grandCol="1" outline="0" fieldPosition="0"/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type="origin" dataOnly="0" labelOnly="1" outline="0" fieldPosition="0"/>
    </format>
    <format dxfId="585">
      <pivotArea field="4" type="button" dataOnly="0" labelOnly="1" outline="0"/>
    </format>
    <format dxfId="584">
      <pivotArea type="topRight" dataOnly="0" labelOnly="1" outline="0" fieldPosition="0"/>
    </format>
    <format dxfId="583">
      <pivotArea field="1" type="button" dataOnly="0" labelOnly="1" outline="0" axis="axisRow" fieldPosition="0"/>
    </format>
    <format dxfId="582">
      <pivotArea dataOnly="0" labelOnly="1" fieldPosition="0">
        <references count="1">
          <reference field="1" count="0"/>
        </references>
      </pivotArea>
    </format>
    <format dxfId="581">
      <pivotArea dataOnly="0" labelOnly="1" grandRow="1" outline="0" fieldPosition="0"/>
    </format>
    <format dxfId="580">
      <pivotArea dataOnly="0" labelOnly="1" grandCol="1" outline="0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type="origin" dataOnly="0" labelOnly="1" outline="0" fieldPosition="0"/>
    </format>
    <format dxfId="576">
      <pivotArea field="4" type="button" dataOnly="0" labelOnly="1" outline="0"/>
    </format>
    <format dxfId="575">
      <pivotArea type="topRight" dataOnly="0" labelOnly="1" outline="0" fieldPosition="0"/>
    </format>
    <format dxfId="574">
      <pivotArea field="1" type="button" dataOnly="0" labelOnly="1" outline="0" axis="axisRow" fieldPosition="0"/>
    </format>
    <format dxfId="573">
      <pivotArea dataOnly="0" labelOnly="1" fieldPosition="0">
        <references count="1">
          <reference field="1" count="0"/>
        </references>
      </pivotArea>
    </format>
    <format dxfId="572">
      <pivotArea dataOnly="0" labelOnly="1" grandRow="1" outline="0" fieldPosition="0"/>
    </format>
    <format dxfId="571">
      <pivotArea dataOnly="0" labelOnly="1" grandCol="1" outline="0" fieldPosition="0"/>
    </format>
    <format dxfId="570">
      <pivotArea field="1" type="button" dataOnly="0" labelOnly="1" outline="0" axis="axisRow" fieldPosition="0"/>
    </format>
    <format dxfId="56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8">
      <pivotArea dataOnly="0" labelOnly="1" grandRow="1" outline="0" fieldPosition="0"/>
    </format>
    <format dxfId="567">
      <pivotArea dataOnly="0" labelOnly="1" grandCol="1" outline="0" fieldPosition="0"/>
    </format>
    <format dxfId="566">
      <pivotArea dataOnly="0" labelOnly="1" grandCol="1" outline="0" fieldPosition="0"/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type="origin" dataOnly="0" labelOnly="1" outline="0" fieldPosition="0"/>
    </format>
    <format dxfId="562">
      <pivotArea field="4" type="button" dataOnly="0" labelOnly="1" outline="0"/>
    </format>
    <format dxfId="561">
      <pivotArea type="topRight" dataOnly="0" labelOnly="1" outline="0" fieldPosition="0"/>
    </format>
    <format dxfId="560">
      <pivotArea field="1" type="button" dataOnly="0" labelOnly="1" outline="0" axis="axisRow" fieldPosition="0"/>
    </format>
    <format dxfId="55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58">
      <pivotArea dataOnly="0" labelOnly="1" grandRow="1" outline="0" fieldPosition="0"/>
    </format>
    <format dxfId="557">
      <pivotArea dataOnly="0" labelOnly="1" grandCol="1" outline="0" fieldPosition="0"/>
    </format>
    <format dxfId="556">
      <pivotArea outline="0" collapsedLevelsAreSubtotals="1" fieldPosition="0"/>
    </format>
    <format dxfId="555">
      <pivotArea field="9" type="button" dataOnly="0" labelOnly="1" outline="0" axis="axisPage" fieldPosition="0"/>
    </format>
    <format dxfId="554">
      <pivotArea field="1" type="button" dataOnly="0" labelOnly="1" outline="0" axis="axisRow" fieldPosition="0"/>
    </format>
    <format dxfId="553">
      <pivotArea dataOnly="0" labelOnly="1" grandCol="1" outline="0" fieldPosition="0"/>
    </format>
    <format dxfId="552">
      <pivotArea field="1" grandCol="1" collapsedLevelsAreSubtotals="1" axis="axisRow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51">
      <pivotArea field="1" type="button" dataOnly="0" labelOnly="1" outline="0" axis="axisRow" fieldPosition="0"/>
    </format>
    <format dxfId="550">
      <pivotArea dataOnly="0" labelOnly="1" grandCol="1" outline="0" fieldPosition="0"/>
    </format>
    <format dxfId="549">
      <pivotArea field="1" type="button" dataOnly="0" labelOnly="1" outline="0" axis="axisRow" fieldPosition="0"/>
    </format>
    <format dxfId="548">
      <pivotArea dataOnly="0" labelOnly="1" grandCol="1" outline="0" fieldPosition="0"/>
    </format>
    <format dxfId="547">
      <pivotArea field="1" type="button" dataOnly="0" labelOnly="1" outline="0" axis="axisRow" fieldPosition="0"/>
    </format>
    <format dxfId="546">
      <pivotArea field="1" grandCol="1" collapsedLevelsAreSubtotals="1" axis="axisRow" fieldPosition="0">
        <references count="1">
          <reference field="1" count="8">
            <x v="2"/>
            <x v="8"/>
            <x v="9"/>
            <x v="13"/>
            <x v="14"/>
            <x v="15"/>
            <x v="17"/>
            <x v="19"/>
          </reference>
        </references>
      </pivotArea>
    </format>
    <format dxfId="545">
      <pivotArea dataOnly="0" labelOnly="1" fieldPosition="0">
        <references count="1">
          <reference field="1" count="1">
            <x v="19"/>
          </reference>
        </references>
      </pivotArea>
    </format>
    <format dxfId="544">
      <pivotArea dataOnly="0" labelOnly="1" fieldPosition="0">
        <references count="1">
          <reference field="1" count="2">
            <x v="13"/>
            <x v="17"/>
          </reference>
        </references>
      </pivotArea>
    </format>
    <format dxfId="543">
      <pivotArea dataOnly="0" labelOnly="1" fieldPosition="0">
        <references count="1">
          <reference field="1" count="2">
            <x v="14"/>
            <x v="15"/>
          </reference>
        </references>
      </pivotArea>
    </format>
    <format dxfId="542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5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0AC0-C02B-42D4-826C-E7D0105AE2AB}">
  <dimension ref="A1:J43"/>
  <sheetViews>
    <sheetView showGridLines="0" topLeftCell="A13" workbookViewId="0">
      <selection activeCell="C12" sqref="C12"/>
    </sheetView>
  </sheetViews>
  <sheetFormatPr defaultColWidth="8.54296875" defaultRowHeight="20.25" customHeight="1" x14ac:dyDescent="0.35"/>
  <cols>
    <col min="1" max="1" width="20.453125" style="6" customWidth="1"/>
    <col min="2" max="7" width="20.453125" style="3" customWidth="1"/>
    <col min="8" max="8" width="13.81640625" style="3" bestFit="1" customWidth="1"/>
    <col min="9" max="16384" width="8.54296875" style="3"/>
  </cols>
  <sheetData>
    <row r="1" spans="1:10" ht="20.25" customHeight="1" x14ac:dyDescent="0.35">
      <c r="A1" s="8" t="s">
        <v>0</v>
      </c>
    </row>
    <row r="3" spans="1:10" ht="20.25" customHeight="1" x14ac:dyDescent="0.3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</row>
    <row r="4" spans="1:10" ht="20.25" customHeight="1" x14ac:dyDescent="0.3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11" t="s">
        <v>17</v>
      </c>
      <c r="H4" s="11" t="s">
        <v>18</v>
      </c>
      <c r="I4" s="3" t="s">
        <v>19</v>
      </c>
      <c r="J4" s="3" t="s">
        <v>20</v>
      </c>
    </row>
    <row r="5" spans="1:10" ht="20.25" customHeight="1" x14ac:dyDescent="0.3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12">
        <v>45809</v>
      </c>
      <c r="H5" s="11" t="s">
        <v>27</v>
      </c>
      <c r="I5" s="3" t="s">
        <v>28</v>
      </c>
      <c r="J5" s="3" t="s">
        <v>29</v>
      </c>
    </row>
    <row r="6" spans="1:10" ht="20.25" customHeight="1" x14ac:dyDescent="0.35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12">
        <v>45839</v>
      </c>
      <c r="H6" s="11" t="s">
        <v>36</v>
      </c>
      <c r="I6" s="3" t="s">
        <v>37</v>
      </c>
    </row>
    <row r="7" spans="1:10" ht="20.25" customHeight="1" x14ac:dyDescent="0.35">
      <c r="A7" s="6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12">
        <v>45870</v>
      </c>
      <c r="H7" s="11" t="s">
        <v>44</v>
      </c>
      <c r="I7" s="3" t="s">
        <v>45</v>
      </c>
    </row>
    <row r="8" spans="1:10" ht="20.25" customHeight="1" x14ac:dyDescent="0.35">
      <c r="A8" s="6" t="s">
        <v>46</v>
      </c>
      <c r="B8" s="6" t="s">
        <v>47</v>
      </c>
      <c r="C8" s="6" t="s">
        <v>48</v>
      </c>
      <c r="D8" s="6" t="s">
        <v>49</v>
      </c>
      <c r="E8" s="6" t="s">
        <v>17</v>
      </c>
      <c r="F8" s="6" t="s">
        <v>50</v>
      </c>
      <c r="G8" s="12">
        <v>45901</v>
      </c>
      <c r="H8" s="11" t="s">
        <v>51</v>
      </c>
    </row>
    <row r="9" spans="1:10" ht="20.25" customHeight="1" x14ac:dyDescent="0.35">
      <c r="A9" s="6" t="s">
        <v>52</v>
      </c>
      <c r="B9" s="6"/>
      <c r="C9" s="6" t="s">
        <v>53</v>
      </c>
      <c r="D9" s="6" t="s">
        <v>17</v>
      </c>
      <c r="F9" s="6" t="s">
        <v>54</v>
      </c>
      <c r="G9" s="12">
        <v>45931</v>
      </c>
      <c r="H9" s="11" t="s">
        <v>55</v>
      </c>
    </row>
    <row r="10" spans="1:10" ht="20.25" customHeight="1" x14ac:dyDescent="0.35">
      <c r="A10" s="6" t="s">
        <v>56</v>
      </c>
      <c r="B10" s="6"/>
      <c r="C10" s="6" t="s">
        <v>57</v>
      </c>
      <c r="D10" s="6"/>
      <c r="E10" s="6"/>
      <c r="F10" s="6" t="s">
        <v>58</v>
      </c>
      <c r="G10" s="12">
        <v>45962</v>
      </c>
      <c r="H10" s="11" t="s">
        <v>59</v>
      </c>
    </row>
    <row r="11" spans="1:10" ht="20.25" customHeight="1" x14ac:dyDescent="0.35">
      <c r="A11" s="6" t="s">
        <v>60</v>
      </c>
      <c r="C11" s="6" t="s">
        <v>61</v>
      </c>
      <c r="D11" s="6"/>
      <c r="E11" s="6"/>
      <c r="F11" s="6" t="s">
        <v>62</v>
      </c>
      <c r="G11" s="12">
        <v>45992</v>
      </c>
    </row>
    <row r="12" spans="1:10" ht="20.25" customHeight="1" x14ac:dyDescent="0.35">
      <c r="A12" s="6" t="s">
        <v>63</v>
      </c>
      <c r="B12" s="6"/>
      <c r="C12" s="6" t="s">
        <v>64</v>
      </c>
      <c r="F12" s="3" t="s">
        <v>65</v>
      </c>
      <c r="G12" s="12">
        <v>46023</v>
      </c>
    </row>
    <row r="13" spans="1:10" ht="20.25" customHeight="1" x14ac:dyDescent="0.35">
      <c r="A13" s="6" t="s">
        <v>66</v>
      </c>
      <c r="B13" s="6"/>
      <c r="C13" s="6" t="s">
        <v>67</v>
      </c>
      <c r="F13" s="3" t="s">
        <v>68</v>
      </c>
      <c r="G13" s="12">
        <v>46054</v>
      </c>
    </row>
    <row r="14" spans="1:10" ht="20.25" customHeight="1" x14ac:dyDescent="0.35">
      <c r="A14" s="6" t="s">
        <v>69</v>
      </c>
      <c r="B14" s="6"/>
      <c r="C14" s="6" t="s">
        <v>70</v>
      </c>
      <c r="G14" s="12">
        <v>46082</v>
      </c>
    </row>
    <row r="15" spans="1:10" ht="20.25" customHeight="1" x14ac:dyDescent="0.35">
      <c r="A15" s="6" t="s">
        <v>71</v>
      </c>
      <c r="C15" s="6" t="s">
        <v>72</v>
      </c>
      <c r="G15" s="12">
        <v>46113</v>
      </c>
    </row>
    <row r="16" spans="1:10" ht="20.25" customHeight="1" x14ac:dyDescent="0.35">
      <c r="A16" s="6" t="s">
        <v>73</v>
      </c>
      <c r="B16" s="6"/>
      <c r="C16" s="6" t="s">
        <v>74</v>
      </c>
      <c r="G16" s="12">
        <v>46143</v>
      </c>
    </row>
    <row r="17" spans="1:7" ht="20.25" customHeight="1" x14ac:dyDescent="0.35">
      <c r="A17" s="6" t="s">
        <v>196</v>
      </c>
      <c r="C17" s="6" t="s">
        <v>76</v>
      </c>
      <c r="G17" s="12">
        <v>46174</v>
      </c>
    </row>
    <row r="18" spans="1:7" ht="20.25" customHeight="1" x14ac:dyDescent="0.35">
      <c r="A18" s="6" t="s">
        <v>77</v>
      </c>
      <c r="B18" s="6"/>
      <c r="C18" s="6" t="s">
        <v>78</v>
      </c>
      <c r="G18" s="12">
        <v>46204</v>
      </c>
    </row>
    <row r="19" spans="1:7" ht="20.25" customHeight="1" x14ac:dyDescent="0.35">
      <c r="A19" s="6" t="s">
        <v>79</v>
      </c>
      <c r="B19" s="6"/>
      <c r="C19" s="6" t="s">
        <v>80</v>
      </c>
      <c r="G19" s="12">
        <v>46235</v>
      </c>
    </row>
    <row r="20" spans="1:7" ht="20.25" customHeight="1" x14ac:dyDescent="0.35">
      <c r="A20" s="6" t="s">
        <v>81</v>
      </c>
      <c r="B20" s="6"/>
      <c r="C20" s="6" t="s">
        <v>82</v>
      </c>
      <c r="G20" s="12">
        <v>46266</v>
      </c>
    </row>
    <row r="21" spans="1:7" ht="20.25" customHeight="1" x14ac:dyDescent="0.35">
      <c r="A21" s="6" t="s">
        <v>83</v>
      </c>
      <c r="B21" s="6"/>
      <c r="C21" s="6" t="s">
        <v>84</v>
      </c>
      <c r="G21" s="12">
        <v>46296</v>
      </c>
    </row>
    <row r="22" spans="1:7" ht="20.25" customHeight="1" x14ac:dyDescent="0.35">
      <c r="A22" s="6" t="s">
        <v>85</v>
      </c>
      <c r="B22" s="6"/>
      <c r="C22" s="6" t="s">
        <v>86</v>
      </c>
      <c r="G22" s="12">
        <v>46327</v>
      </c>
    </row>
    <row r="23" spans="1:7" ht="20.25" customHeight="1" x14ac:dyDescent="0.35">
      <c r="A23" s="6" t="s">
        <v>87</v>
      </c>
      <c r="G23" s="12">
        <v>46357</v>
      </c>
    </row>
    <row r="24" spans="1:7" ht="20.25" customHeight="1" x14ac:dyDescent="0.35">
      <c r="A24" s="6" t="s">
        <v>88</v>
      </c>
      <c r="G24" s="12">
        <v>46388</v>
      </c>
    </row>
    <row r="25" spans="1:7" ht="20.25" customHeight="1" x14ac:dyDescent="0.35">
      <c r="A25" s="6" t="s">
        <v>89</v>
      </c>
      <c r="G25" s="12">
        <v>46419</v>
      </c>
    </row>
    <row r="26" spans="1:7" ht="20.25" customHeight="1" x14ac:dyDescent="0.35">
      <c r="A26" s="6" t="s">
        <v>90</v>
      </c>
      <c r="G26" s="12">
        <v>46447</v>
      </c>
    </row>
    <row r="27" spans="1:7" ht="20.25" customHeight="1" x14ac:dyDescent="0.35">
      <c r="A27" s="6" t="s">
        <v>91</v>
      </c>
      <c r="G27" s="12">
        <v>46478</v>
      </c>
    </row>
    <row r="28" spans="1:7" ht="20.25" customHeight="1" x14ac:dyDescent="0.35">
      <c r="A28" s="6" t="s">
        <v>92</v>
      </c>
      <c r="G28" s="12">
        <v>46508</v>
      </c>
    </row>
    <row r="29" spans="1:7" ht="20.25" customHeight="1" x14ac:dyDescent="0.35">
      <c r="A29" s="6" t="s">
        <v>93</v>
      </c>
      <c r="G29" s="12">
        <v>46539</v>
      </c>
    </row>
    <row r="30" spans="1:7" ht="20.25" customHeight="1" x14ac:dyDescent="0.35">
      <c r="A30" s="6" t="s">
        <v>94</v>
      </c>
      <c r="G30" s="12">
        <v>46569</v>
      </c>
    </row>
    <row r="31" spans="1:7" ht="20.25" customHeight="1" x14ac:dyDescent="0.35">
      <c r="A31" s="6" t="s">
        <v>95</v>
      </c>
      <c r="G31" s="12">
        <v>46600</v>
      </c>
    </row>
    <row r="32" spans="1:7" ht="20.25" customHeight="1" x14ac:dyDescent="0.35">
      <c r="A32" s="6" t="s">
        <v>96</v>
      </c>
      <c r="G32" s="12">
        <v>46631</v>
      </c>
    </row>
    <row r="33" spans="1:7" ht="20.25" customHeight="1" x14ac:dyDescent="0.35">
      <c r="A33" s="6" t="s">
        <v>97</v>
      </c>
      <c r="G33" s="12">
        <v>46661</v>
      </c>
    </row>
    <row r="34" spans="1:7" ht="20.25" customHeight="1" x14ac:dyDescent="0.35">
      <c r="A34" s="6" t="s">
        <v>98</v>
      </c>
      <c r="G34" s="12">
        <v>46692</v>
      </c>
    </row>
    <row r="35" spans="1:7" ht="20.25" customHeight="1" x14ac:dyDescent="0.35">
      <c r="A35" s="6" t="s">
        <v>99</v>
      </c>
      <c r="G35" s="12">
        <v>46722</v>
      </c>
    </row>
    <row r="36" spans="1:7" ht="20.25" customHeight="1" x14ac:dyDescent="0.35">
      <c r="A36" s="6" t="s">
        <v>100</v>
      </c>
      <c r="G36" s="11" t="s">
        <v>44</v>
      </c>
    </row>
    <row r="37" spans="1:7" ht="20.25" customHeight="1" x14ac:dyDescent="0.35">
      <c r="A37" s="6" t="s">
        <v>101</v>
      </c>
      <c r="G37" s="11" t="s">
        <v>51</v>
      </c>
    </row>
    <row r="38" spans="1:7" ht="20.25" customHeight="1" x14ac:dyDescent="0.35">
      <c r="A38" s="6" t="s">
        <v>102</v>
      </c>
      <c r="G38" s="11" t="s">
        <v>55</v>
      </c>
    </row>
    <row r="39" spans="1:7" ht="20.25" customHeight="1" x14ac:dyDescent="0.35">
      <c r="A39" s="6" t="s">
        <v>103</v>
      </c>
      <c r="G39" s="11" t="s">
        <v>59</v>
      </c>
    </row>
    <row r="40" spans="1:7" ht="20.25" customHeight="1" x14ac:dyDescent="0.35">
      <c r="A40" s="6" t="s">
        <v>104</v>
      </c>
    </row>
    <row r="41" spans="1:7" ht="20.25" customHeight="1" x14ac:dyDescent="0.35">
      <c r="A41" s="6" t="s">
        <v>105</v>
      </c>
    </row>
    <row r="42" spans="1:7" ht="20.25" customHeight="1" x14ac:dyDescent="0.35">
      <c r="A42" s="6" t="s">
        <v>197</v>
      </c>
    </row>
    <row r="43" spans="1:7" ht="20.25" customHeight="1" x14ac:dyDescent="0.35">
      <c r="A43" s="6" t="s">
        <v>200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2292-41F8-48DD-A7AC-A798A799000E}">
  <dimension ref="A1:D13"/>
  <sheetViews>
    <sheetView showGridLines="0" workbookViewId="0">
      <selection activeCell="C7" sqref="C7"/>
    </sheetView>
  </sheetViews>
  <sheetFormatPr defaultColWidth="8.7265625" defaultRowHeight="20.149999999999999" customHeight="1" x14ac:dyDescent="0.35"/>
  <cols>
    <col min="1" max="2" width="12.54296875" style="3" customWidth="1"/>
    <col min="3" max="3" width="18.54296875" style="3" customWidth="1"/>
    <col min="4" max="4" width="12.54296875" style="3" customWidth="1"/>
    <col min="5" max="16384" width="8.7265625" style="3"/>
  </cols>
  <sheetData>
    <row r="1" spans="1:4" ht="20.149999999999999" customHeight="1" x14ac:dyDescent="0.35">
      <c r="A1" s="8" t="s">
        <v>106</v>
      </c>
    </row>
    <row r="3" spans="1:4" ht="40" customHeight="1" x14ac:dyDescent="0.35">
      <c r="A3" s="1" t="s">
        <v>107</v>
      </c>
      <c r="B3" s="1" t="s">
        <v>108</v>
      </c>
      <c r="C3" s="1" t="s">
        <v>109</v>
      </c>
      <c r="D3" s="1" t="s">
        <v>110</v>
      </c>
    </row>
    <row r="4" spans="1:4" ht="20.149999999999999" customHeight="1" x14ac:dyDescent="0.35">
      <c r="A4" s="5" t="s">
        <v>16</v>
      </c>
      <c r="B4" s="2" t="s">
        <v>111</v>
      </c>
      <c r="C4" s="2" t="s">
        <v>112</v>
      </c>
      <c r="D4" s="7">
        <v>0</v>
      </c>
    </row>
    <row r="5" spans="1:4" ht="20.149999999999999" customHeight="1" x14ac:dyDescent="0.35">
      <c r="A5" s="5" t="s">
        <v>26</v>
      </c>
      <c r="B5" s="2" t="s">
        <v>111</v>
      </c>
      <c r="C5" s="2" t="s">
        <v>113</v>
      </c>
      <c r="D5" s="7">
        <v>0.35</v>
      </c>
    </row>
    <row r="6" spans="1:4" ht="20.149999999999999" customHeight="1" x14ac:dyDescent="0.35">
      <c r="A6" s="5" t="s">
        <v>35</v>
      </c>
      <c r="B6" s="2" t="s">
        <v>114</v>
      </c>
      <c r="C6" s="2" t="s">
        <v>115</v>
      </c>
      <c r="D6" s="7">
        <v>0.5</v>
      </c>
    </row>
    <row r="7" spans="1:4" ht="20.149999999999999" customHeight="1" x14ac:dyDescent="0.35">
      <c r="A7" s="5" t="s">
        <v>43</v>
      </c>
      <c r="B7" s="2" t="s">
        <v>114</v>
      </c>
      <c r="C7" s="2" t="s">
        <v>116</v>
      </c>
      <c r="D7" s="7">
        <v>0.5</v>
      </c>
    </row>
    <row r="8" spans="1:4" ht="20.149999999999999" customHeight="1" x14ac:dyDescent="0.35">
      <c r="A8" s="5" t="s">
        <v>50</v>
      </c>
      <c r="B8" s="2" t="s">
        <v>117</v>
      </c>
      <c r="C8" s="2" t="s">
        <v>118</v>
      </c>
      <c r="D8" s="7">
        <v>0.5</v>
      </c>
    </row>
    <row r="9" spans="1:4" ht="20.149999999999999" customHeight="1" x14ac:dyDescent="0.35">
      <c r="A9" s="5" t="s">
        <v>54</v>
      </c>
      <c r="B9" s="2" t="s">
        <v>117</v>
      </c>
      <c r="C9" s="2" t="s">
        <v>119</v>
      </c>
      <c r="D9" s="7">
        <v>0.75</v>
      </c>
    </row>
    <row r="10" spans="1:4" ht="20.149999999999999" customHeight="1" x14ac:dyDescent="0.35">
      <c r="A10" s="5" t="s">
        <v>58</v>
      </c>
      <c r="B10" s="2" t="s">
        <v>120</v>
      </c>
      <c r="C10" s="2" t="s">
        <v>121</v>
      </c>
      <c r="D10" s="7">
        <v>1</v>
      </c>
    </row>
    <row r="11" spans="1:4" ht="20.149999999999999" customHeight="1" x14ac:dyDescent="0.35">
      <c r="A11" s="5" t="s">
        <v>62</v>
      </c>
      <c r="B11" s="2" t="s">
        <v>55</v>
      </c>
      <c r="C11" s="2" t="s">
        <v>122</v>
      </c>
      <c r="D11" s="7">
        <v>0</v>
      </c>
    </row>
    <row r="12" spans="1:4" ht="20.149999999999999" customHeight="1" x14ac:dyDescent="0.35">
      <c r="A12" s="5" t="s">
        <v>65</v>
      </c>
      <c r="B12" s="2" t="s">
        <v>123</v>
      </c>
      <c r="C12" s="2" t="s">
        <v>122</v>
      </c>
      <c r="D12" s="7">
        <v>0</v>
      </c>
    </row>
    <row r="13" spans="1:4" ht="20.149999999999999" customHeight="1" x14ac:dyDescent="0.35">
      <c r="A13" s="5" t="s">
        <v>68</v>
      </c>
      <c r="B13" s="2" t="s">
        <v>44</v>
      </c>
      <c r="C13" s="2" t="s">
        <v>122</v>
      </c>
      <c r="D13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DAC9-7467-4EF9-8E70-E85018B1D0EC}">
  <sheetPr>
    <tabColor rgb="FFC00000"/>
    <pageSetUpPr fitToPage="1"/>
  </sheetPr>
  <dimension ref="A1:V103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.1796875" defaultRowHeight="20" customHeight="1" x14ac:dyDescent="0.35"/>
  <cols>
    <col min="1" max="1" width="4.453125" style="3" customWidth="1"/>
    <col min="2" max="2" width="21.26953125" style="16" bestFit="1" customWidth="1"/>
    <col min="3" max="3" width="44.453125" style="6" customWidth="1"/>
    <col min="4" max="4" width="10.54296875" style="11" customWidth="1"/>
    <col min="5" max="5" width="11.54296875" style="6" customWidth="1"/>
    <col min="6" max="6" width="15.54296875" style="6" customWidth="1"/>
    <col min="7" max="7" width="11.54296875" style="6" customWidth="1"/>
    <col min="8" max="9" width="11.54296875" style="11" customWidth="1"/>
    <col min="10" max="11" width="10.54296875" style="11" customWidth="1"/>
    <col min="12" max="12" width="18.54296875" style="11" customWidth="1"/>
    <col min="13" max="14" width="10.54296875" style="11" customWidth="1"/>
    <col min="15" max="15" width="12.453125" style="3" customWidth="1"/>
    <col min="16" max="19" width="10.453125" style="3" customWidth="1"/>
    <col min="20" max="20" width="50.453125" style="3" customWidth="1"/>
    <col min="21" max="21" width="7.36328125" style="11" customWidth="1"/>
    <col min="22" max="22" width="21.453125" style="3" customWidth="1"/>
    <col min="23" max="16384" width="9.1796875" style="3"/>
  </cols>
  <sheetData>
    <row r="1" spans="1:22" ht="20" customHeight="1" x14ac:dyDescent="0.35">
      <c r="A1" s="8" t="s">
        <v>124</v>
      </c>
      <c r="K1" s="102" t="s">
        <v>125</v>
      </c>
      <c r="L1" s="102"/>
      <c r="M1" s="102"/>
      <c r="N1" s="13"/>
      <c r="R1" s="101" t="s">
        <v>125</v>
      </c>
      <c r="S1" s="101"/>
    </row>
    <row r="2" spans="1:22" ht="20" customHeight="1" x14ac:dyDescent="0.35">
      <c r="H2" s="25" t="s">
        <v>114</v>
      </c>
      <c r="I2" s="25" t="s">
        <v>114</v>
      </c>
      <c r="N2" s="25" t="s">
        <v>126</v>
      </c>
      <c r="P2" s="25" t="s">
        <v>127</v>
      </c>
      <c r="Q2" s="25" t="s">
        <v>127</v>
      </c>
      <c r="R2" s="14">
        <v>84.21</v>
      </c>
      <c r="S2" s="15"/>
    </row>
    <row r="3" spans="1:22" ht="40" customHeight="1" x14ac:dyDescent="0.35">
      <c r="A3" s="1" t="s">
        <v>128</v>
      </c>
      <c r="B3" s="1" t="s">
        <v>1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107</v>
      </c>
      <c r="K3" s="1" t="s">
        <v>136</v>
      </c>
      <c r="L3" s="1" t="s">
        <v>109</v>
      </c>
      <c r="M3" s="1" t="s">
        <v>110</v>
      </c>
      <c r="N3" s="1" t="s">
        <v>137</v>
      </c>
      <c r="O3" s="1" t="s">
        <v>8</v>
      </c>
      <c r="P3" s="1" t="s">
        <v>138</v>
      </c>
      <c r="Q3" s="1" t="s">
        <v>139</v>
      </c>
      <c r="R3" s="1" t="s">
        <v>140</v>
      </c>
      <c r="S3" s="1" t="s">
        <v>141</v>
      </c>
      <c r="T3" s="1" t="s">
        <v>142</v>
      </c>
      <c r="U3" s="1" t="s">
        <v>143</v>
      </c>
      <c r="V3" s="1" t="s">
        <v>144</v>
      </c>
    </row>
    <row r="4" spans="1:22" ht="20" customHeight="1" x14ac:dyDescent="0.35">
      <c r="A4" s="5">
        <v>1</v>
      </c>
      <c r="B4" s="26" t="s">
        <v>145</v>
      </c>
      <c r="C4" s="2" t="s">
        <v>146</v>
      </c>
      <c r="D4" s="5" t="s">
        <v>34</v>
      </c>
      <c r="E4" s="2" t="s">
        <v>47</v>
      </c>
      <c r="F4" s="2" t="s">
        <v>82</v>
      </c>
      <c r="G4" s="2" t="s">
        <v>14</v>
      </c>
      <c r="H4" s="5" t="s">
        <v>28</v>
      </c>
      <c r="I4" s="5" t="s">
        <v>29</v>
      </c>
      <c r="J4" s="5" t="s">
        <v>65</v>
      </c>
      <c r="K4" s="23" t="str">
        <f>VLOOKUP(J4,'Opportunity stage'!A$3:D$13,2,0)</f>
        <v>Hold</v>
      </c>
      <c r="L4" s="23" t="str">
        <f>VLOOKUP(J4,'Opportunity stage'!A$3:D$13,3,0)</f>
        <v>Other</v>
      </c>
      <c r="M4" s="24">
        <f>VLOOKUP(J4,'Opportunity stage'!A$3:D$13,4,0)</f>
        <v>0</v>
      </c>
      <c r="N4" s="27" t="s">
        <v>17</v>
      </c>
      <c r="O4" s="5" t="s">
        <v>36</v>
      </c>
      <c r="P4" s="28">
        <v>900000</v>
      </c>
      <c r="Q4" s="28">
        <v>1200</v>
      </c>
      <c r="R4" s="29">
        <f t="shared" ref="R4:R35" si="0">Q4/$R$2</f>
        <v>14.250089063056645</v>
      </c>
      <c r="S4" s="29">
        <f>(P4*R4)/1000000</f>
        <v>12.82508015675098</v>
      </c>
      <c r="T4" s="2" t="s">
        <v>202</v>
      </c>
      <c r="U4" s="5" t="s">
        <v>147</v>
      </c>
      <c r="V4" s="5"/>
    </row>
    <row r="5" spans="1:22" ht="20" customHeight="1" x14ac:dyDescent="0.35">
      <c r="A5" s="5">
        <v>2</v>
      </c>
      <c r="B5" s="2" t="s">
        <v>75</v>
      </c>
      <c r="C5" s="21" t="s">
        <v>148</v>
      </c>
      <c r="D5" s="5" t="s">
        <v>34</v>
      </c>
      <c r="E5" s="2" t="s">
        <v>31</v>
      </c>
      <c r="F5" s="2" t="s">
        <v>67</v>
      </c>
      <c r="G5" s="2" t="s">
        <v>41</v>
      </c>
      <c r="H5" s="5" t="s">
        <v>28</v>
      </c>
      <c r="I5" s="5" t="s">
        <v>29</v>
      </c>
      <c r="J5" s="5" t="s">
        <v>65</v>
      </c>
      <c r="K5" s="23" t="str">
        <f>VLOOKUP(J5,'Opportunity stage'!A$3:D$13,2,0)</f>
        <v>Hold</v>
      </c>
      <c r="L5" s="23" t="str">
        <f>VLOOKUP(J5,'Opportunity stage'!A$3:D$13,3,0)</f>
        <v>Other</v>
      </c>
      <c r="M5" s="24">
        <f>VLOOKUP(J5,'Opportunity stage'!A$3:D$13,4,0)</f>
        <v>0</v>
      </c>
      <c r="N5" s="27" t="s">
        <v>17</v>
      </c>
      <c r="O5" s="30" t="s">
        <v>36</v>
      </c>
      <c r="P5" s="31">
        <v>1</v>
      </c>
      <c r="Q5" s="31">
        <v>22000</v>
      </c>
      <c r="R5" s="29">
        <f t="shared" si="0"/>
        <v>261.25163282270518</v>
      </c>
      <c r="S5" s="29">
        <f t="shared" ref="S5:S66" si="1">(P5*R5)/1000000</f>
        <v>2.6125163282270515E-4</v>
      </c>
      <c r="T5" s="17" t="s">
        <v>149</v>
      </c>
      <c r="U5" s="5" t="s">
        <v>147</v>
      </c>
      <c r="V5" s="5"/>
    </row>
    <row r="6" spans="1:22" ht="20" customHeight="1" x14ac:dyDescent="0.35">
      <c r="A6" s="5">
        <v>3</v>
      </c>
      <c r="B6" s="2" t="s">
        <v>46</v>
      </c>
      <c r="C6" s="21" t="s">
        <v>150</v>
      </c>
      <c r="D6" s="5" t="s">
        <v>34</v>
      </c>
      <c r="E6" s="2" t="s">
        <v>31</v>
      </c>
      <c r="F6" s="2" t="s">
        <v>67</v>
      </c>
      <c r="G6" s="2" t="s">
        <v>14</v>
      </c>
      <c r="H6" s="5" t="s">
        <v>19</v>
      </c>
      <c r="I6" s="5" t="s">
        <v>20</v>
      </c>
      <c r="J6" s="5" t="s">
        <v>65</v>
      </c>
      <c r="K6" s="23" t="str">
        <f>VLOOKUP(J6,'Opportunity stage'!A$3:D$13,2,0)</f>
        <v>Hold</v>
      </c>
      <c r="L6" s="23" t="str">
        <f>VLOOKUP(J6,'Opportunity stage'!A$3:D$13,3,0)</f>
        <v>Other</v>
      </c>
      <c r="M6" s="24">
        <f>VLOOKUP(J6,'Opportunity stage'!A$3:D$13,4,0)</f>
        <v>0</v>
      </c>
      <c r="N6" s="27" t="s">
        <v>17</v>
      </c>
      <c r="O6" s="30" t="s">
        <v>36</v>
      </c>
      <c r="P6" s="31">
        <f>156000*0.3</f>
        <v>46800</v>
      </c>
      <c r="Q6" s="31">
        <v>13000</v>
      </c>
      <c r="R6" s="29">
        <f t="shared" si="0"/>
        <v>154.37596484978033</v>
      </c>
      <c r="S6" s="29">
        <f t="shared" si="1"/>
        <v>7.2247951549697191</v>
      </c>
      <c r="T6" s="2" t="s">
        <v>203</v>
      </c>
      <c r="U6" s="5" t="s">
        <v>147</v>
      </c>
      <c r="V6" s="5"/>
    </row>
    <row r="7" spans="1:22" ht="20" customHeight="1" x14ac:dyDescent="0.35">
      <c r="A7" s="5">
        <v>4</v>
      </c>
      <c r="B7" s="2" t="s">
        <v>46</v>
      </c>
      <c r="C7" s="21" t="s">
        <v>151</v>
      </c>
      <c r="D7" s="5" t="s">
        <v>34</v>
      </c>
      <c r="E7" s="2" t="s">
        <v>47</v>
      </c>
      <c r="F7" s="2" t="s">
        <v>78</v>
      </c>
      <c r="G7" s="2" t="s">
        <v>14</v>
      </c>
      <c r="H7" s="5" t="s">
        <v>19</v>
      </c>
      <c r="I7" s="5" t="s">
        <v>20</v>
      </c>
      <c r="J7" s="5" t="s">
        <v>65</v>
      </c>
      <c r="K7" s="23" t="str">
        <f>VLOOKUP(J7,'Opportunity stage'!A$3:D$13,2,0)</f>
        <v>Hold</v>
      </c>
      <c r="L7" s="23" t="str">
        <f>VLOOKUP(J7,'Opportunity stage'!A$3:D$13,3,0)</f>
        <v>Other</v>
      </c>
      <c r="M7" s="24">
        <f>VLOOKUP(J7,'Opportunity stage'!A$3:D$13,4,0)</f>
        <v>0</v>
      </c>
      <c r="N7" s="27" t="s">
        <v>17</v>
      </c>
      <c r="O7" s="30" t="s">
        <v>27</v>
      </c>
      <c r="P7" s="31">
        <f>156000*0.5</f>
        <v>78000</v>
      </c>
      <c r="Q7" s="32">
        <f>25*85</f>
        <v>2125</v>
      </c>
      <c r="R7" s="29">
        <f t="shared" si="0"/>
        <v>25.234532715829477</v>
      </c>
      <c r="S7" s="29">
        <f t="shared" si="1"/>
        <v>1.9682935518346993</v>
      </c>
      <c r="T7" s="2" t="s">
        <v>204</v>
      </c>
      <c r="U7" s="5" t="s">
        <v>147</v>
      </c>
      <c r="V7" s="5"/>
    </row>
    <row r="8" spans="1:22" ht="20" customHeight="1" x14ac:dyDescent="0.35">
      <c r="A8" s="5">
        <v>5</v>
      </c>
      <c r="B8" s="2" t="s">
        <v>38</v>
      </c>
      <c r="C8" s="21" t="s">
        <v>152</v>
      </c>
      <c r="D8" s="5" t="s">
        <v>15</v>
      </c>
      <c r="E8" s="2" t="s">
        <v>22</v>
      </c>
      <c r="F8" s="2" t="s">
        <v>57</v>
      </c>
      <c r="G8" s="2" t="s">
        <v>14</v>
      </c>
      <c r="H8" s="5" t="s">
        <v>37</v>
      </c>
      <c r="I8" s="5" t="s">
        <v>20</v>
      </c>
      <c r="J8" s="5" t="s">
        <v>62</v>
      </c>
      <c r="K8" s="23" t="s">
        <v>55</v>
      </c>
      <c r="L8" s="23" t="s">
        <v>55</v>
      </c>
      <c r="M8" s="24" t="s">
        <v>55</v>
      </c>
      <c r="N8" s="27">
        <v>45901</v>
      </c>
      <c r="O8" s="30" t="s">
        <v>55</v>
      </c>
      <c r="P8" s="31">
        <v>120000</v>
      </c>
      <c r="Q8" s="32">
        <v>13000</v>
      </c>
      <c r="R8" s="29">
        <f t="shared" ref="R8" si="2">Q8/$R$2</f>
        <v>154.37596484978033</v>
      </c>
      <c r="S8" s="29">
        <f t="shared" ref="S8" si="3">(P8*R8)/1000000</f>
        <v>18.525115781973643</v>
      </c>
      <c r="T8" s="2" t="s">
        <v>153</v>
      </c>
      <c r="U8" s="5"/>
      <c r="V8" s="5"/>
    </row>
    <row r="9" spans="1:22" ht="20" customHeight="1" x14ac:dyDescent="0.35">
      <c r="A9" s="5">
        <v>6</v>
      </c>
      <c r="B9" s="2" t="s">
        <v>38</v>
      </c>
      <c r="C9" s="2" t="s">
        <v>154</v>
      </c>
      <c r="D9" s="5" t="s">
        <v>15</v>
      </c>
      <c r="E9" s="2" t="s">
        <v>22</v>
      </c>
      <c r="F9" s="2" t="s">
        <v>57</v>
      </c>
      <c r="G9" s="2" t="s">
        <v>14</v>
      </c>
      <c r="H9" s="5" t="s">
        <v>37</v>
      </c>
      <c r="I9" s="5" t="s">
        <v>20</v>
      </c>
      <c r="J9" s="5" t="s">
        <v>62</v>
      </c>
      <c r="K9" s="23" t="str">
        <f>VLOOKUP(J9,'Opportunity stage'!A$3:D$13,2,0)</f>
        <v>Lost</v>
      </c>
      <c r="L9" s="23" t="str">
        <f>VLOOKUP(J9,'Opportunity stage'!A$3:D$13,3,0)</f>
        <v>Other</v>
      </c>
      <c r="M9" s="24">
        <f>VLOOKUP(J9,'Opportunity stage'!A$3:D$13,4,0)</f>
        <v>0</v>
      </c>
      <c r="N9" s="27">
        <v>45992</v>
      </c>
      <c r="O9" s="30" t="s">
        <v>55</v>
      </c>
      <c r="P9" s="31">
        <v>439000</v>
      </c>
      <c r="Q9" s="31">
        <v>15000</v>
      </c>
      <c r="R9" s="29">
        <f t="shared" si="0"/>
        <v>178.12611328820807</v>
      </c>
      <c r="S9" s="29">
        <f t="shared" si="1"/>
        <v>78.197363733523332</v>
      </c>
      <c r="T9" s="2" t="s">
        <v>205</v>
      </c>
      <c r="U9" s="5" t="s">
        <v>155</v>
      </c>
      <c r="V9" s="5"/>
    </row>
    <row r="10" spans="1:22" ht="20" customHeight="1" x14ac:dyDescent="0.35">
      <c r="A10" s="5">
        <v>7</v>
      </c>
      <c r="B10" s="2" t="s">
        <v>38</v>
      </c>
      <c r="C10" s="21" t="s">
        <v>156</v>
      </c>
      <c r="D10" s="5" t="s">
        <v>34</v>
      </c>
      <c r="E10" s="2" t="s">
        <v>47</v>
      </c>
      <c r="F10" s="2" t="s">
        <v>76</v>
      </c>
      <c r="G10" s="2" t="s">
        <v>14</v>
      </c>
      <c r="H10" s="5" t="s">
        <v>28</v>
      </c>
      <c r="I10" s="5" t="s">
        <v>29</v>
      </c>
      <c r="J10" s="5" t="s">
        <v>50</v>
      </c>
      <c r="K10" s="23" t="str">
        <f>VLOOKUP(J10,'Opportunity stage'!A$3:D$13,2,0)</f>
        <v>RFQ</v>
      </c>
      <c r="L10" s="23" t="str">
        <f>VLOOKUP(J10,'Opportunity stage'!A$3:D$13,3,0)</f>
        <v>Opportunity</v>
      </c>
      <c r="M10" s="24">
        <f>VLOOKUP(J10,'Opportunity stage'!A$3:D$13,4,0)</f>
        <v>0.5</v>
      </c>
      <c r="N10" s="27">
        <v>46082</v>
      </c>
      <c r="O10" s="30" t="s">
        <v>18</v>
      </c>
      <c r="P10" s="31">
        <v>1000000</v>
      </c>
      <c r="Q10" s="31">
        <v>1900</v>
      </c>
      <c r="R10" s="29">
        <f t="shared" si="0"/>
        <v>22.562641016506355</v>
      </c>
      <c r="S10" s="29">
        <f t="shared" si="1"/>
        <v>22.562641016506355</v>
      </c>
      <c r="T10" s="2" t="s">
        <v>157</v>
      </c>
      <c r="U10" s="5" t="s">
        <v>147</v>
      </c>
      <c r="V10" s="4"/>
    </row>
    <row r="11" spans="1:22" ht="20" customHeight="1" x14ac:dyDescent="0.35">
      <c r="A11" s="5">
        <v>8</v>
      </c>
      <c r="B11" s="2" t="s">
        <v>38</v>
      </c>
      <c r="C11" s="21" t="s">
        <v>158</v>
      </c>
      <c r="D11" s="5" t="s">
        <v>15</v>
      </c>
      <c r="E11" s="2" t="s">
        <v>22</v>
      </c>
      <c r="F11" s="2" t="s">
        <v>57</v>
      </c>
      <c r="G11" s="2" t="s">
        <v>14</v>
      </c>
      <c r="H11" s="5" t="s">
        <v>37</v>
      </c>
      <c r="I11" s="5" t="s">
        <v>20</v>
      </c>
      <c r="J11" s="5" t="s">
        <v>62</v>
      </c>
      <c r="K11" s="23" t="str">
        <f>VLOOKUP(J11,'Opportunity stage'!A$3:D$13,2,0)</f>
        <v>Lost</v>
      </c>
      <c r="L11" s="23" t="str">
        <f>VLOOKUP(J11,'Opportunity stage'!A$3:D$13,3,0)</f>
        <v>Other</v>
      </c>
      <c r="M11" s="24">
        <f>VLOOKUP(J11,'Opportunity stage'!A$3:D$13,4,0)</f>
        <v>0</v>
      </c>
      <c r="N11" s="27">
        <v>46082</v>
      </c>
      <c r="O11" s="30" t="s">
        <v>36</v>
      </c>
      <c r="P11" s="31">
        <v>496056</v>
      </c>
      <c r="Q11" s="31">
        <v>13500</v>
      </c>
      <c r="R11" s="29">
        <f t="shared" si="0"/>
        <v>160.31350195938725</v>
      </c>
      <c r="S11" s="29">
        <f t="shared" si="1"/>
        <v>79.524474527965793</v>
      </c>
      <c r="T11" s="66" t="s">
        <v>211</v>
      </c>
      <c r="U11" s="5" t="s">
        <v>155</v>
      </c>
      <c r="V11" s="5"/>
    </row>
    <row r="12" spans="1:22" ht="20" customHeight="1" x14ac:dyDescent="0.35">
      <c r="A12" s="5">
        <v>9</v>
      </c>
      <c r="B12" s="2" t="s">
        <v>38</v>
      </c>
      <c r="C12" s="21" t="s">
        <v>212</v>
      </c>
      <c r="D12" s="5" t="s">
        <v>34</v>
      </c>
      <c r="E12" s="2" t="s">
        <v>47</v>
      </c>
      <c r="F12" s="2" t="s">
        <v>78</v>
      </c>
      <c r="G12" s="2" t="s">
        <v>14</v>
      </c>
      <c r="H12" s="5" t="s">
        <v>28</v>
      </c>
      <c r="I12" s="5" t="s">
        <v>29</v>
      </c>
      <c r="J12" s="5" t="s">
        <v>26</v>
      </c>
      <c r="K12" s="23" t="str">
        <f>VLOOKUP(J12,'Opportunity stage'!A$3:D$13,2,0)</f>
        <v>Before Lead</v>
      </c>
      <c r="L12" s="23" t="str">
        <f>VLOOKUP(J12,'Opportunity stage'!A$3:D$13,3,0)</f>
        <v>Lead Generation</v>
      </c>
      <c r="M12" s="24">
        <f>VLOOKUP(J12,'Opportunity stage'!A$3:D$13,4,0)</f>
        <v>0.35</v>
      </c>
      <c r="N12" s="27">
        <v>46266</v>
      </c>
      <c r="O12" s="30" t="s">
        <v>36</v>
      </c>
      <c r="P12" s="31">
        <v>208000</v>
      </c>
      <c r="Q12" s="31">
        <v>400</v>
      </c>
      <c r="R12" s="29">
        <f t="shared" si="0"/>
        <v>4.7500296876855481</v>
      </c>
      <c r="S12" s="29">
        <f t="shared" si="1"/>
        <v>0.988006175038594</v>
      </c>
      <c r="T12" s="2" t="s">
        <v>213</v>
      </c>
      <c r="U12" s="5" t="s">
        <v>147</v>
      </c>
      <c r="V12" s="4"/>
    </row>
    <row r="13" spans="1:22" ht="20" customHeight="1" x14ac:dyDescent="0.35">
      <c r="A13" s="5">
        <v>10</v>
      </c>
      <c r="B13" s="2" t="s">
        <v>11</v>
      </c>
      <c r="C13" s="22" t="s">
        <v>159</v>
      </c>
      <c r="D13" s="5" t="s">
        <v>15</v>
      </c>
      <c r="E13" s="2" t="s">
        <v>12</v>
      </c>
      <c r="F13" s="2" t="s">
        <v>13</v>
      </c>
      <c r="G13" s="2" t="s">
        <v>14</v>
      </c>
      <c r="H13" s="5" t="s">
        <v>19</v>
      </c>
      <c r="I13" s="5" t="s">
        <v>20</v>
      </c>
      <c r="J13" s="5" t="s">
        <v>62</v>
      </c>
      <c r="K13" s="23" t="str">
        <f>VLOOKUP(J13,'Opportunity stage'!A$3:D$13,2,0)</f>
        <v>Lost</v>
      </c>
      <c r="L13" s="23" t="str">
        <f>VLOOKUP(J13,'Opportunity stage'!A$3:D$13,3,0)</f>
        <v>Other</v>
      </c>
      <c r="M13" s="24">
        <v>0.2</v>
      </c>
      <c r="N13" s="27">
        <v>45992</v>
      </c>
      <c r="O13" s="30" t="s">
        <v>36</v>
      </c>
      <c r="P13" s="31">
        <v>1200000</v>
      </c>
      <c r="Q13" s="31">
        <v>7500</v>
      </c>
      <c r="R13" s="29">
        <f t="shared" si="0"/>
        <v>89.063056644104037</v>
      </c>
      <c r="S13" s="29">
        <f t="shared" si="1"/>
        <v>106.87566797292484</v>
      </c>
      <c r="T13" s="2"/>
      <c r="U13" s="5" t="s">
        <v>155</v>
      </c>
      <c r="V13" s="5"/>
    </row>
    <row r="14" spans="1:22" ht="20" customHeight="1" x14ac:dyDescent="0.35">
      <c r="A14" s="5">
        <v>11</v>
      </c>
      <c r="B14" s="2" t="s">
        <v>11</v>
      </c>
      <c r="C14" s="21" t="s">
        <v>160</v>
      </c>
      <c r="D14" s="5" t="s">
        <v>34</v>
      </c>
      <c r="E14" s="2" t="s">
        <v>31</v>
      </c>
      <c r="F14" s="2" t="s">
        <v>61</v>
      </c>
      <c r="G14" s="2" t="s">
        <v>14</v>
      </c>
      <c r="H14" s="5" t="s">
        <v>19</v>
      </c>
      <c r="I14" s="5" t="s">
        <v>20</v>
      </c>
      <c r="J14" s="5" t="s">
        <v>43</v>
      </c>
      <c r="K14" s="23" t="str">
        <f>VLOOKUP(J14,'Opportunity stage'!A$3:D$13,2,0)</f>
        <v>Lead</v>
      </c>
      <c r="L14" s="23" t="str">
        <f>VLOOKUP(J14,'Opportunity stage'!A$3:D$13,3,0)</f>
        <v>Supplier Qualification</v>
      </c>
      <c r="M14" s="24">
        <f>VLOOKUP(J14,'Opportunity stage'!A$3:D$13,4,0)</f>
        <v>0.5</v>
      </c>
      <c r="N14" s="27">
        <v>46357</v>
      </c>
      <c r="O14" s="30" t="s">
        <v>27</v>
      </c>
      <c r="P14" s="31">
        <v>732000</v>
      </c>
      <c r="Q14" s="31">
        <v>4000</v>
      </c>
      <c r="R14" s="29">
        <f t="shared" si="0"/>
        <v>47.500296876855487</v>
      </c>
      <c r="S14" s="29">
        <f t="shared" si="1"/>
        <v>34.770217313858218</v>
      </c>
      <c r="T14" s="2"/>
      <c r="U14" s="5" t="s">
        <v>147</v>
      </c>
      <c r="V14" s="4"/>
    </row>
    <row r="15" spans="1:22" ht="20" customHeight="1" x14ac:dyDescent="0.35">
      <c r="A15" s="5">
        <v>12</v>
      </c>
      <c r="B15" s="2" t="s">
        <v>11</v>
      </c>
      <c r="C15" s="21" t="s">
        <v>161</v>
      </c>
      <c r="D15" s="5" t="s">
        <v>15</v>
      </c>
      <c r="E15" s="2" t="s">
        <v>22</v>
      </c>
      <c r="F15" s="2" t="s">
        <v>48</v>
      </c>
      <c r="G15" s="2" t="s">
        <v>14</v>
      </c>
      <c r="H15" s="5" t="s">
        <v>19</v>
      </c>
      <c r="I15" s="5" t="s">
        <v>20</v>
      </c>
      <c r="J15" s="5" t="s">
        <v>62</v>
      </c>
      <c r="K15" s="23" t="str">
        <f>VLOOKUP(J15,'Opportunity stage'!A$3:D$13,2,0)</f>
        <v>Lost</v>
      </c>
      <c r="L15" s="23" t="str">
        <f>VLOOKUP(J15,'Opportunity stage'!A$3:D$13,3,0)</f>
        <v>Other</v>
      </c>
      <c r="M15" s="24">
        <v>0.25</v>
      </c>
      <c r="N15" s="27">
        <v>45992</v>
      </c>
      <c r="O15" s="30" t="s">
        <v>36</v>
      </c>
      <c r="P15" s="31">
        <f>85000*5</f>
        <v>425000</v>
      </c>
      <c r="Q15" s="33">
        <v>2000</v>
      </c>
      <c r="R15" s="29">
        <f t="shared" si="0"/>
        <v>23.750148438427743</v>
      </c>
      <c r="S15" s="29">
        <f t="shared" si="1"/>
        <v>10.093813086331791</v>
      </c>
      <c r="T15" s="2"/>
      <c r="U15" s="5" t="s">
        <v>155</v>
      </c>
      <c r="V15" s="5"/>
    </row>
    <row r="16" spans="1:22" ht="20" customHeight="1" x14ac:dyDescent="0.35">
      <c r="A16" s="5">
        <v>13</v>
      </c>
      <c r="B16" s="2" t="s">
        <v>11</v>
      </c>
      <c r="C16" s="21" t="s">
        <v>162</v>
      </c>
      <c r="D16" s="5" t="s">
        <v>15</v>
      </c>
      <c r="E16" s="2" t="s">
        <v>22</v>
      </c>
      <c r="F16" s="2" t="s">
        <v>48</v>
      </c>
      <c r="G16" s="2" t="s">
        <v>14</v>
      </c>
      <c r="H16" s="5" t="s">
        <v>19</v>
      </c>
      <c r="I16" s="5" t="s">
        <v>20</v>
      </c>
      <c r="J16" s="5" t="s">
        <v>62</v>
      </c>
      <c r="K16" s="23" t="str">
        <f>VLOOKUP(J16,'Opportunity stage'!A$3:D$13,2,0)</f>
        <v>Lost</v>
      </c>
      <c r="L16" s="23" t="str">
        <f>VLOOKUP(J16,'Opportunity stage'!A$3:D$13,3,0)</f>
        <v>Other</v>
      </c>
      <c r="M16" s="24">
        <v>0.25</v>
      </c>
      <c r="N16" s="27">
        <v>45992</v>
      </c>
      <c r="O16" s="30" t="s">
        <v>36</v>
      </c>
      <c r="P16" s="34">
        <f>40000*5</f>
        <v>200000</v>
      </c>
      <c r="Q16" s="33">
        <v>4500</v>
      </c>
      <c r="R16" s="29">
        <f t="shared" si="0"/>
        <v>53.437833986462422</v>
      </c>
      <c r="S16" s="29">
        <f t="shared" si="1"/>
        <v>10.687566797292485</v>
      </c>
      <c r="T16" s="2"/>
      <c r="U16" s="5" t="s">
        <v>155</v>
      </c>
      <c r="V16" s="5"/>
    </row>
    <row r="17" spans="1:22" ht="20" customHeight="1" x14ac:dyDescent="0.35">
      <c r="A17" s="5">
        <v>14</v>
      </c>
      <c r="B17" s="2" t="s">
        <v>11</v>
      </c>
      <c r="C17" s="21" t="s">
        <v>163</v>
      </c>
      <c r="D17" s="5" t="s">
        <v>15</v>
      </c>
      <c r="E17" s="2" t="s">
        <v>22</v>
      </c>
      <c r="F17" s="2" t="s">
        <v>48</v>
      </c>
      <c r="G17" s="2" t="s">
        <v>14</v>
      </c>
      <c r="H17" s="5" t="s">
        <v>19</v>
      </c>
      <c r="I17" s="5" t="s">
        <v>20</v>
      </c>
      <c r="J17" s="5" t="s">
        <v>62</v>
      </c>
      <c r="K17" s="23" t="str">
        <f>VLOOKUP(J17,'Opportunity stage'!A$3:D$13,2,0)</f>
        <v>Lost</v>
      </c>
      <c r="L17" s="23" t="str">
        <f>VLOOKUP(J17,'Opportunity stage'!A$3:D$13,3,0)</f>
        <v>Other</v>
      </c>
      <c r="M17" s="24">
        <f>VLOOKUP(J17,'Opportunity stage'!A$3:D$13,4,0)</f>
        <v>0</v>
      </c>
      <c r="N17" s="27">
        <v>46082</v>
      </c>
      <c r="O17" s="30" t="s">
        <v>36</v>
      </c>
      <c r="P17" s="34">
        <f>50000*5</f>
        <v>250000</v>
      </c>
      <c r="Q17" s="34">
        <v>300</v>
      </c>
      <c r="R17" s="29">
        <f t="shared" si="0"/>
        <v>3.5625222657641613</v>
      </c>
      <c r="S17" s="29">
        <f t="shared" si="1"/>
        <v>0.89063056644104033</v>
      </c>
      <c r="T17" s="2"/>
      <c r="U17" s="5" t="s">
        <v>155</v>
      </c>
      <c r="V17" s="5"/>
    </row>
    <row r="18" spans="1:22" ht="20" customHeight="1" x14ac:dyDescent="0.35">
      <c r="A18" s="5">
        <v>15</v>
      </c>
      <c r="B18" s="2" t="s">
        <v>66</v>
      </c>
      <c r="C18" s="21" t="s">
        <v>164</v>
      </c>
      <c r="D18" s="5" t="s">
        <v>15</v>
      </c>
      <c r="E18" s="2" t="s">
        <v>12</v>
      </c>
      <c r="F18" s="2" t="s">
        <v>23</v>
      </c>
      <c r="G18" s="2" t="s">
        <v>14</v>
      </c>
      <c r="H18" s="5" t="s">
        <v>28</v>
      </c>
      <c r="I18" s="5" t="s">
        <v>29</v>
      </c>
      <c r="J18" s="5" t="s">
        <v>62</v>
      </c>
      <c r="K18" s="23" t="str">
        <f>VLOOKUP(J18,'Opportunity stage'!A$3:D$13,2,0)</f>
        <v>Lost</v>
      </c>
      <c r="L18" s="23" t="str">
        <f>VLOOKUP(J18,'Opportunity stage'!A$3:D$13,3,0)</f>
        <v>Other</v>
      </c>
      <c r="M18" s="24">
        <f>VLOOKUP(J18,'Opportunity stage'!A$3:D$13,4,0)</f>
        <v>0</v>
      </c>
      <c r="N18" s="27">
        <v>46082</v>
      </c>
      <c r="O18" s="30" t="s">
        <v>36</v>
      </c>
      <c r="P18" s="31">
        <v>100000</v>
      </c>
      <c r="Q18" s="31">
        <v>20000</v>
      </c>
      <c r="R18" s="29">
        <f t="shared" si="0"/>
        <v>237.50148438427743</v>
      </c>
      <c r="S18" s="29">
        <f>(P18*R18)/1000000</f>
        <v>23.750148438427743</v>
      </c>
      <c r="T18" s="2" t="s">
        <v>165</v>
      </c>
      <c r="U18" s="5" t="s">
        <v>155</v>
      </c>
      <c r="V18" s="5"/>
    </row>
    <row r="19" spans="1:22" ht="20" customHeight="1" x14ac:dyDescent="0.35">
      <c r="A19" s="5">
        <v>16</v>
      </c>
      <c r="B19" s="2" t="s">
        <v>66</v>
      </c>
      <c r="C19" s="21" t="s">
        <v>150</v>
      </c>
      <c r="D19" s="5" t="s">
        <v>34</v>
      </c>
      <c r="E19" s="2" t="s">
        <v>31</v>
      </c>
      <c r="F19" s="2" t="s">
        <v>67</v>
      </c>
      <c r="G19" s="2" t="s">
        <v>14</v>
      </c>
      <c r="H19" s="5" t="s">
        <v>28</v>
      </c>
      <c r="I19" s="5" t="s">
        <v>29</v>
      </c>
      <c r="J19" s="5" t="s">
        <v>62</v>
      </c>
      <c r="K19" s="23" t="str">
        <f>VLOOKUP(J19,'Opportunity stage'!A$3:D$13,2,0)</f>
        <v>Lost</v>
      </c>
      <c r="L19" s="23" t="str">
        <f>VLOOKUP(J19,'Opportunity stage'!A$3:D$13,3,0)</f>
        <v>Other</v>
      </c>
      <c r="M19" s="24">
        <f>VLOOKUP(J19,'Opportunity stage'!A$3:D$13,4,0)</f>
        <v>0</v>
      </c>
      <c r="N19" s="27">
        <v>46082</v>
      </c>
      <c r="O19" s="30" t="s">
        <v>36</v>
      </c>
      <c r="P19" s="31">
        <v>150000</v>
      </c>
      <c r="Q19" s="31">
        <v>14350</v>
      </c>
      <c r="R19" s="29">
        <f t="shared" si="0"/>
        <v>170.40731504571906</v>
      </c>
      <c r="S19" s="29">
        <f t="shared" si="1"/>
        <v>25.561097256857856</v>
      </c>
      <c r="T19" s="17" t="s">
        <v>166</v>
      </c>
      <c r="U19" s="5" t="s">
        <v>147</v>
      </c>
      <c r="V19" s="4"/>
    </row>
    <row r="20" spans="1:22" ht="20" customHeight="1" x14ac:dyDescent="0.35">
      <c r="A20" s="5">
        <v>17</v>
      </c>
      <c r="B20" s="2" t="s">
        <v>66</v>
      </c>
      <c r="C20" s="21" t="s">
        <v>220</v>
      </c>
      <c r="D20" s="5" t="s">
        <v>34</v>
      </c>
      <c r="E20" s="2" t="s">
        <v>47</v>
      </c>
      <c r="F20" s="2" t="s">
        <v>76</v>
      </c>
      <c r="G20" s="2" t="s">
        <v>14</v>
      </c>
      <c r="H20" s="5" t="s">
        <v>28</v>
      </c>
      <c r="I20" s="5" t="s">
        <v>29</v>
      </c>
      <c r="J20" s="5" t="s">
        <v>50</v>
      </c>
      <c r="K20" s="23" t="str">
        <f>VLOOKUP(J20,'Opportunity stage'!A$3:D$13,2,0)</f>
        <v>RFQ</v>
      </c>
      <c r="L20" s="23" t="str">
        <f>VLOOKUP(J20,'Opportunity stage'!A$3:D$13,3,0)</f>
        <v>Opportunity</v>
      </c>
      <c r="M20" s="24">
        <f>VLOOKUP(J20,'Opportunity stage'!A$3:D$13,4,0)</f>
        <v>0.5</v>
      </c>
      <c r="N20" s="27">
        <v>46357</v>
      </c>
      <c r="O20" s="30" t="s">
        <v>36</v>
      </c>
      <c r="P20" s="31">
        <f>100000*4</f>
        <v>400000</v>
      </c>
      <c r="Q20" s="31">
        <v>2200</v>
      </c>
      <c r="R20" s="29">
        <f t="shared" si="0"/>
        <v>26.125163282270517</v>
      </c>
      <c r="S20" s="29">
        <f t="shared" si="1"/>
        <v>10.450065312908206</v>
      </c>
      <c r="T20" s="2" t="s">
        <v>221</v>
      </c>
      <c r="U20" s="5" t="s">
        <v>147</v>
      </c>
      <c r="V20" s="4"/>
    </row>
    <row r="21" spans="1:22" ht="20" customHeight="1" x14ac:dyDescent="0.35">
      <c r="A21" s="5">
        <v>18</v>
      </c>
      <c r="B21" s="2" t="s">
        <v>66</v>
      </c>
      <c r="C21" s="21" t="s">
        <v>167</v>
      </c>
      <c r="D21" s="5" t="s">
        <v>15</v>
      </c>
      <c r="E21" s="2" t="s">
        <v>22</v>
      </c>
      <c r="F21" s="2" t="s">
        <v>48</v>
      </c>
      <c r="G21" s="2" t="s">
        <v>14</v>
      </c>
      <c r="H21" s="5" t="s">
        <v>28</v>
      </c>
      <c r="I21" s="5" t="s">
        <v>20</v>
      </c>
      <c r="J21" s="5" t="s">
        <v>62</v>
      </c>
      <c r="K21" s="23" t="str">
        <f>VLOOKUP(J21,'Opportunity stage'!A$3:D$13,2,0)</f>
        <v>Lost</v>
      </c>
      <c r="L21" s="23" t="str">
        <f>VLOOKUP(J21,'Opportunity stage'!A$3:D$13,3,0)</f>
        <v>Other</v>
      </c>
      <c r="M21" s="24">
        <f>VLOOKUP(J21,'Opportunity stage'!A$3:D$13,4,0)</f>
        <v>0</v>
      </c>
      <c r="N21" s="27" t="s">
        <v>55</v>
      </c>
      <c r="O21" s="30" t="s">
        <v>36</v>
      </c>
      <c r="P21" s="31">
        <f>120000*5</f>
        <v>600000</v>
      </c>
      <c r="Q21" s="31">
        <v>300</v>
      </c>
      <c r="R21" s="29">
        <f>Q21/$R$2</f>
        <v>3.5625222657641613</v>
      </c>
      <c r="S21" s="29">
        <f t="shared" si="1"/>
        <v>2.137513359458497</v>
      </c>
      <c r="T21" s="2"/>
      <c r="U21" s="5" t="s">
        <v>155</v>
      </c>
      <c r="V21" s="4"/>
    </row>
    <row r="22" spans="1:22" ht="20" customHeight="1" x14ac:dyDescent="0.35">
      <c r="A22" s="5">
        <v>19</v>
      </c>
      <c r="B22" s="2" t="s">
        <v>66</v>
      </c>
      <c r="C22" s="21" t="s">
        <v>168</v>
      </c>
      <c r="D22" s="5" t="s">
        <v>15</v>
      </c>
      <c r="E22" s="2" t="s">
        <v>22</v>
      </c>
      <c r="F22" s="2" t="s">
        <v>48</v>
      </c>
      <c r="G22" s="2" t="s">
        <v>14</v>
      </c>
      <c r="H22" s="5" t="s">
        <v>28</v>
      </c>
      <c r="I22" s="5" t="s">
        <v>20</v>
      </c>
      <c r="J22" s="68" t="s">
        <v>62</v>
      </c>
      <c r="K22" s="23" t="str">
        <f>VLOOKUP(J22,'Opportunity stage'!A$3:D$13,2,0)</f>
        <v>Lost</v>
      </c>
      <c r="L22" s="23" t="str">
        <f>VLOOKUP(J22,'Opportunity stage'!A$3:D$13,3,0)</f>
        <v>Other</v>
      </c>
      <c r="M22" s="24">
        <f>VLOOKUP(J22,'Opportunity stage'!A$3:D$13,4,0)</f>
        <v>0</v>
      </c>
      <c r="N22" s="67" t="s">
        <v>55</v>
      </c>
      <c r="O22" s="30" t="s">
        <v>36</v>
      </c>
      <c r="P22" s="31">
        <v>1500000</v>
      </c>
      <c r="Q22" s="31">
        <v>116</v>
      </c>
      <c r="R22" s="29">
        <f t="shared" si="0"/>
        <v>1.3775086094288089</v>
      </c>
      <c r="S22" s="29">
        <f t="shared" si="1"/>
        <v>2.0662629141432132</v>
      </c>
      <c r="T22" s="2"/>
      <c r="U22" s="5" t="s">
        <v>147</v>
      </c>
      <c r="V22" s="4"/>
    </row>
    <row r="23" spans="1:22" ht="20" customHeight="1" x14ac:dyDescent="0.35">
      <c r="A23" s="5">
        <v>20</v>
      </c>
      <c r="B23" s="2" t="s">
        <v>66</v>
      </c>
      <c r="C23" s="21" t="s">
        <v>169</v>
      </c>
      <c r="D23" s="5" t="s">
        <v>15</v>
      </c>
      <c r="E23" s="2" t="s">
        <v>22</v>
      </c>
      <c r="F23" s="2" t="s">
        <v>48</v>
      </c>
      <c r="G23" s="2" t="s">
        <v>14</v>
      </c>
      <c r="H23" s="5" t="s">
        <v>28</v>
      </c>
      <c r="I23" s="5" t="s">
        <v>20</v>
      </c>
      <c r="J23" s="68" t="s">
        <v>62</v>
      </c>
      <c r="K23" s="23" t="str">
        <f>VLOOKUP(J23,'Opportunity stage'!A$3:D$13,2,0)</f>
        <v>Lost</v>
      </c>
      <c r="L23" s="23" t="str">
        <f>VLOOKUP(J23,'Opportunity stage'!A$3:D$13,3,0)</f>
        <v>Other</v>
      </c>
      <c r="M23" s="24">
        <f>VLOOKUP(J23,'Opportunity stage'!A$3:D$13,4,0)</f>
        <v>0</v>
      </c>
      <c r="N23" s="67" t="s">
        <v>55</v>
      </c>
      <c r="O23" s="30" t="s">
        <v>36</v>
      </c>
      <c r="P23" s="31">
        <v>1500000</v>
      </c>
      <c r="Q23" s="31">
        <v>138</v>
      </c>
      <c r="R23" s="29">
        <f t="shared" si="0"/>
        <v>1.6387602422515142</v>
      </c>
      <c r="S23" s="29">
        <f t="shared" si="1"/>
        <v>2.4581403633772712</v>
      </c>
      <c r="T23" s="2"/>
      <c r="U23" s="5" t="s">
        <v>155</v>
      </c>
      <c r="V23" s="4"/>
    </row>
    <row r="24" spans="1:22" ht="20" customHeight="1" x14ac:dyDescent="0.35">
      <c r="A24" s="5">
        <v>21</v>
      </c>
      <c r="B24" s="2" t="s">
        <v>103</v>
      </c>
      <c r="C24" s="21" t="s">
        <v>170</v>
      </c>
      <c r="D24" s="5" t="s">
        <v>15</v>
      </c>
      <c r="E24" s="2" t="s">
        <v>12</v>
      </c>
      <c r="F24" s="2" t="s">
        <v>32</v>
      </c>
      <c r="G24" s="2" t="s">
        <v>14</v>
      </c>
      <c r="H24" s="5" t="s">
        <v>28</v>
      </c>
      <c r="I24" s="5" t="s">
        <v>29</v>
      </c>
      <c r="J24" s="5" t="s">
        <v>35</v>
      </c>
      <c r="K24" s="23" t="str">
        <f>VLOOKUP(J24,'Opportunity stage'!A$3:D$13,2,0)</f>
        <v>Lead</v>
      </c>
      <c r="L24" s="23" t="str">
        <f>VLOOKUP(J24,'Opportunity stage'!A$3:D$13,3,0)</f>
        <v>Lead Qualification</v>
      </c>
      <c r="M24" s="24">
        <f>VLOOKUP(J24,'Opportunity stage'!A$3:D$13,4,0)</f>
        <v>0.5</v>
      </c>
      <c r="N24" s="27">
        <v>46447</v>
      </c>
      <c r="O24" s="30" t="s">
        <v>36</v>
      </c>
      <c r="P24" s="31">
        <f>127000*5</f>
        <v>635000</v>
      </c>
      <c r="Q24" s="31">
        <v>28000</v>
      </c>
      <c r="R24" s="29">
        <f t="shared" si="0"/>
        <v>332.50207813798841</v>
      </c>
      <c r="S24" s="29">
        <f t="shared" si="1"/>
        <v>211.13881961762263</v>
      </c>
      <c r="T24" s="2" t="s">
        <v>171</v>
      </c>
      <c r="U24" s="5" t="s">
        <v>155</v>
      </c>
      <c r="V24" s="5"/>
    </row>
    <row r="25" spans="1:22" ht="20" customHeight="1" x14ac:dyDescent="0.35">
      <c r="A25" s="5">
        <v>22</v>
      </c>
      <c r="B25" s="2" t="s">
        <v>63</v>
      </c>
      <c r="C25" s="21" t="s">
        <v>172</v>
      </c>
      <c r="D25" s="5" t="s">
        <v>15</v>
      </c>
      <c r="E25" s="2" t="s">
        <v>22</v>
      </c>
      <c r="F25" s="2" t="s">
        <v>48</v>
      </c>
      <c r="G25" s="2" t="s">
        <v>14</v>
      </c>
      <c r="H25" s="5" t="s">
        <v>28</v>
      </c>
      <c r="I25" s="5" t="s">
        <v>20</v>
      </c>
      <c r="J25" s="68" t="s">
        <v>68</v>
      </c>
      <c r="K25" s="23" t="str">
        <f>VLOOKUP(J25,'Opportunity stage'!A$3:D$13,2,0)</f>
        <v>Dropped</v>
      </c>
      <c r="L25" s="23" t="str">
        <f>VLOOKUP(J25,'Opportunity stage'!A$3:D$13,3,0)</f>
        <v>Other</v>
      </c>
      <c r="M25" s="24">
        <f>VLOOKUP(J25,'Opportunity stage'!A$3:D$13,4,0)</f>
        <v>0</v>
      </c>
      <c r="N25" s="67" t="s">
        <v>44</v>
      </c>
      <c r="O25" s="30" t="s">
        <v>36</v>
      </c>
      <c r="P25" s="31">
        <v>545000</v>
      </c>
      <c r="Q25" s="31">
        <v>170</v>
      </c>
      <c r="R25" s="29">
        <f t="shared" si="0"/>
        <v>2.0187626172663582</v>
      </c>
      <c r="S25" s="29">
        <f t="shared" si="1"/>
        <v>1.1002256264101651</v>
      </c>
      <c r="T25" s="2" t="s">
        <v>224</v>
      </c>
      <c r="U25" s="5" t="s">
        <v>147</v>
      </c>
      <c r="V25" s="4"/>
    </row>
    <row r="26" spans="1:22" ht="20" customHeight="1" x14ac:dyDescent="0.35">
      <c r="A26" s="5">
        <v>23</v>
      </c>
      <c r="B26" s="2" t="s">
        <v>63</v>
      </c>
      <c r="C26" s="21" t="s">
        <v>150</v>
      </c>
      <c r="D26" s="5" t="s">
        <v>34</v>
      </c>
      <c r="E26" s="2" t="s">
        <v>31</v>
      </c>
      <c r="F26" s="2" t="s">
        <v>67</v>
      </c>
      <c r="G26" s="2" t="s">
        <v>14</v>
      </c>
      <c r="H26" s="5" t="s">
        <v>28</v>
      </c>
      <c r="I26" s="5" t="s">
        <v>29</v>
      </c>
      <c r="J26" s="5" t="s">
        <v>58</v>
      </c>
      <c r="K26" s="23" t="str">
        <f>VLOOKUP(J26,'Opportunity stage'!A$3:D$13,2,0)</f>
        <v>Win</v>
      </c>
      <c r="L26" s="23" t="str">
        <f>VLOOKUP(J26,'Opportunity stage'!A$3:D$13,3,0)</f>
        <v>Closing</v>
      </c>
      <c r="M26" s="24">
        <f>VLOOKUP(J26,'Opportunity stage'!A$3:D$13,4,0)</f>
        <v>1</v>
      </c>
      <c r="N26" s="27" t="s">
        <v>59</v>
      </c>
      <c r="O26" s="30" t="s">
        <v>59</v>
      </c>
      <c r="P26" s="31">
        <v>22800</v>
      </c>
      <c r="Q26" s="31">
        <v>14350</v>
      </c>
      <c r="R26" s="29">
        <f t="shared" si="0"/>
        <v>170.40731504571906</v>
      </c>
      <c r="S26" s="29">
        <f t="shared" si="1"/>
        <v>3.8852867830423947</v>
      </c>
      <c r="T26" s="2"/>
      <c r="U26" s="5" t="s">
        <v>147</v>
      </c>
      <c r="V26" s="4"/>
    </row>
    <row r="27" spans="1:22" ht="20" customHeight="1" x14ac:dyDescent="0.35">
      <c r="A27" s="5">
        <v>24</v>
      </c>
      <c r="B27" s="2" t="s">
        <v>104</v>
      </c>
      <c r="C27" s="21" t="s">
        <v>173</v>
      </c>
      <c r="D27" s="5" t="s">
        <v>34</v>
      </c>
      <c r="E27" s="2" t="s">
        <v>31</v>
      </c>
      <c r="F27" s="2" t="s">
        <v>67</v>
      </c>
      <c r="G27" s="2" t="s">
        <v>24</v>
      </c>
      <c r="H27" s="5" t="s">
        <v>45</v>
      </c>
      <c r="I27" s="5" t="s">
        <v>29</v>
      </c>
      <c r="J27" s="5" t="s">
        <v>43</v>
      </c>
      <c r="K27" s="23" t="str">
        <f>VLOOKUP(J27,'Opportunity stage'!A$3:D$13,2,0)</f>
        <v>Lead</v>
      </c>
      <c r="L27" s="23" t="str">
        <f>VLOOKUP(J27,'Opportunity stage'!A$3:D$13,3,0)</f>
        <v>Supplier Qualification</v>
      </c>
      <c r="M27" s="24">
        <f>VLOOKUP(J27,'Opportunity stage'!A$3:D$13,4,0)</f>
        <v>0.5</v>
      </c>
      <c r="N27" s="27">
        <v>46266</v>
      </c>
      <c r="O27" s="30" t="s">
        <v>36</v>
      </c>
      <c r="P27" s="34">
        <v>9000</v>
      </c>
      <c r="Q27" s="31">
        <v>25000</v>
      </c>
      <c r="R27" s="29">
        <f t="shared" si="0"/>
        <v>296.87685548034676</v>
      </c>
      <c r="S27" s="29">
        <f t="shared" si="1"/>
        <v>2.6718916993231212</v>
      </c>
      <c r="T27" s="17" t="s">
        <v>208</v>
      </c>
      <c r="U27" s="5" t="s">
        <v>147</v>
      </c>
      <c r="V27" s="4"/>
    </row>
    <row r="28" spans="1:22" ht="20" customHeight="1" x14ac:dyDescent="0.4">
      <c r="A28" s="5">
        <v>25</v>
      </c>
      <c r="B28" s="2" t="s">
        <v>73</v>
      </c>
      <c r="C28" s="21" t="s">
        <v>174</v>
      </c>
      <c r="D28" s="5" t="s">
        <v>15</v>
      </c>
      <c r="E28" s="2" t="s">
        <v>12</v>
      </c>
      <c r="F28" s="2" t="s">
        <v>23</v>
      </c>
      <c r="G28" s="2" t="s">
        <v>14</v>
      </c>
      <c r="H28" s="5" t="s">
        <v>37</v>
      </c>
      <c r="I28" s="5" t="s">
        <v>29</v>
      </c>
      <c r="J28" s="5" t="s">
        <v>68</v>
      </c>
      <c r="K28" s="23" t="str">
        <f>VLOOKUP(J28,'Opportunity stage'!A$3:D$13,2,0)</f>
        <v>Dropped</v>
      </c>
      <c r="L28" s="23" t="str">
        <f>VLOOKUP(J28,'Opportunity stage'!A$3:D$13,3,0)</f>
        <v>Other</v>
      </c>
      <c r="M28" s="24">
        <f>VLOOKUP(J28,'Opportunity stage'!A$3:D$13,4,0)</f>
        <v>0</v>
      </c>
      <c r="N28" s="27">
        <v>45992</v>
      </c>
      <c r="O28" s="30" t="s">
        <v>44</v>
      </c>
      <c r="P28" s="28">
        <v>6000</v>
      </c>
      <c r="Q28" s="28">
        <v>25000</v>
      </c>
      <c r="R28" s="29">
        <f t="shared" si="0"/>
        <v>296.87685548034676</v>
      </c>
      <c r="S28" s="29">
        <f t="shared" si="1"/>
        <v>1.7812611328820804</v>
      </c>
      <c r="T28" s="35" t="s">
        <v>175</v>
      </c>
      <c r="U28" s="5" t="s">
        <v>155</v>
      </c>
      <c r="V28" s="5"/>
    </row>
    <row r="29" spans="1:22" ht="20" customHeight="1" x14ac:dyDescent="0.4">
      <c r="A29" s="5">
        <v>26</v>
      </c>
      <c r="B29" s="2" t="s">
        <v>73</v>
      </c>
      <c r="C29" s="21" t="s">
        <v>80</v>
      </c>
      <c r="D29" s="5" t="s">
        <v>34</v>
      </c>
      <c r="E29" s="2" t="s">
        <v>47</v>
      </c>
      <c r="F29" s="2" t="s">
        <v>80</v>
      </c>
      <c r="G29" s="2" t="s">
        <v>14</v>
      </c>
      <c r="H29" s="5" t="s">
        <v>37</v>
      </c>
      <c r="I29" s="5" t="s">
        <v>29</v>
      </c>
      <c r="J29" s="5" t="s">
        <v>62</v>
      </c>
      <c r="K29" s="23" t="s">
        <v>117</v>
      </c>
      <c r="L29" s="23" t="s">
        <v>55</v>
      </c>
      <c r="M29" s="24" t="s">
        <v>55</v>
      </c>
      <c r="N29" s="27">
        <v>45962</v>
      </c>
      <c r="O29" s="30" t="s">
        <v>55</v>
      </c>
      <c r="P29" s="28">
        <v>500000</v>
      </c>
      <c r="Q29" s="28">
        <v>3800</v>
      </c>
      <c r="R29" s="29">
        <f t="shared" ref="R29" si="4">Q29/$R$2</f>
        <v>45.125282033012709</v>
      </c>
      <c r="S29" s="29">
        <f t="shared" ref="S29" si="5">(P29*R29)/1000000</f>
        <v>22.562641016506355</v>
      </c>
      <c r="T29" s="35" t="s">
        <v>176</v>
      </c>
      <c r="U29" s="5"/>
      <c r="V29" s="5"/>
    </row>
    <row r="30" spans="1:22" ht="20" customHeight="1" x14ac:dyDescent="0.35">
      <c r="A30" s="5">
        <v>27</v>
      </c>
      <c r="B30" s="2" t="s">
        <v>177</v>
      </c>
      <c r="C30" s="21" t="s">
        <v>150</v>
      </c>
      <c r="D30" s="5" t="s">
        <v>34</v>
      </c>
      <c r="E30" s="2" t="s">
        <v>31</v>
      </c>
      <c r="F30" s="2" t="s">
        <v>67</v>
      </c>
      <c r="G30" s="2" t="s">
        <v>14</v>
      </c>
      <c r="H30" s="5" t="s">
        <v>28</v>
      </c>
      <c r="I30" s="5" t="s">
        <v>29</v>
      </c>
      <c r="J30" s="5" t="s">
        <v>16</v>
      </c>
      <c r="K30" s="23" t="str">
        <f>VLOOKUP(J30,'Opportunity stage'!A$3:D$13,2,0)</f>
        <v>Before Lead</v>
      </c>
      <c r="L30" s="23" t="str">
        <f>VLOOKUP(J30,'Opportunity stage'!A$3:D$13,3,0)</f>
        <v>Planning</v>
      </c>
      <c r="M30" s="24">
        <f>VLOOKUP(J30,'Opportunity stage'!A$3:D$13,4,0)</f>
        <v>0</v>
      </c>
      <c r="N30" s="27" t="s">
        <v>17</v>
      </c>
      <c r="O30" s="30" t="s">
        <v>36</v>
      </c>
      <c r="P30" s="28">
        <v>0</v>
      </c>
      <c r="Q30" s="28">
        <v>0</v>
      </c>
      <c r="R30" s="29">
        <f t="shared" si="0"/>
        <v>0</v>
      </c>
      <c r="S30" s="29">
        <f t="shared" si="1"/>
        <v>0</v>
      </c>
      <c r="T30" s="2"/>
      <c r="U30" s="5" t="s">
        <v>147</v>
      </c>
      <c r="V30" s="4"/>
    </row>
    <row r="31" spans="1:22" ht="20" customHeight="1" x14ac:dyDescent="0.35">
      <c r="A31" s="5">
        <v>28</v>
      </c>
      <c r="B31" s="37" t="s">
        <v>60</v>
      </c>
      <c r="C31" s="38" t="s">
        <v>150</v>
      </c>
      <c r="D31" s="36" t="s">
        <v>34</v>
      </c>
      <c r="E31" s="37" t="s">
        <v>31</v>
      </c>
      <c r="F31" s="37" t="s">
        <v>67</v>
      </c>
      <c r="G31" s="37" t="s">
        <v>33</v>
      </c>
      <c r="H31" s="36" t="s">
        <v>37</v>
      </c>
      <c r="I31" s="36" t="s">
        <v>29</v>
      </c>
      <c r="J31" s="36" t="s">
        <v>68</v>
      </c>
      <c r="K31" s="39" t="str">
        <f>VLOOKUP(J31,'Opportunity stage'!A$3:D$13,2,0)</f>
        <v>Dropped</v>
      </c>
      <c r="L31" s="39" t="str">
        <f>VLOOKUP(J31,'Opportunity stage'!A$3:D$13,3,0)</f>
        <v>Other</v>
      </c>
      <c r="M31" s="40">
        <f>VLOOKUP(J31,'Opportunity stage'!A$3:D$13,4,0)</f>
        <v>0</v>
      </c>
      <c r="N31" s="41">
        <v>45992</v>
      </c>
      <c r="O31" s="42" t="s">
        <v>44</v>
      </c>
      <c r="P31" s="43">
        <v>8000</v>
      </c>
      <c r="Q31" s="43">
        <v>13500</v>
      </c>
      <c r="R31" s="44">
        <f t="shared" si="0"/>
        <v>160.31350195938725</v>
      </c>
      <c r="S31" s="44">
        <f t="shared" si="1"/>
        <v>1.2825080156750979</v>
      </c>
      <c r="T31" s="45" t="s">
        <v>178</v>
      </c>
      <c r="U31" s="36" t="s">
        <v>147</v>
      </c>
      <c r="V31" s="46"/>
    </row>
    <row r="32" spans="1:22" ht="20" customHeight="1" x14ac:dyDescent="0.35">
      <c r="A32" s="5">
        <v>29</v>
      </c>
      <c r="B32" s="2" t="s">
        <v>60</v>
      </c>
      <c r="C32" s="21" t="s">
        <v>179</v>
      </c>
      <c r="D32" s="5" t="s">
        <v>34</v>
      </c>
      <c r="E32" s="2" t="s">
        <v>31</v>
      </c>
      <c r="F32" s="2" t="s">
        <v>61</v>
      </c>
      <c r="G32" s="2" t="s">
        <v>33</v>
      </c>
      <c r="H32" s="5" t="s">
        <v>37</v>
      </c>
      <c r="I32" s="5" t="s">
        <v>29</v>
      </c>
      <c r="J32" s="5" t="s">
        <v>68</v>
      </c>
      <c r="K32" s="23" t="str">
        <f>VLOOKUP(J32,'Opportunity stage'!A$3:D$13,2,0)</f>
        <v>Dropped</v>
      </c>
      <c r="L32" s="23" t="str">
        <f>VLOOKUP(J32,'Opportunity stage'!A$3:D$13,3,0)</f>
        <v>Other</v>
      </c>
      <c r="M32" s="24">
        <f>VLOOKUP(J32,'Opportunity stage'!A$3:D$13,4,0)</f>
        <v>0</v>
      </c>
      <c r="N32" s="27">
        <v>45992</v>
      </c>
      <c r="O32" s="30" t="s">
        <v>44</v>
      </c>
      <c r="P32" s="28">
        <v>8000</v>
      </c>
      <c r="Q32" s="28">
        <v>5000</v>
      </c>
      <c r="R32" s="29">
        <f t="shared" si="0"/>
        <v>59.375371096069358</v>
      </c>
      <c r="S32" s="29">
        <f t="shared" si="1"/>
        <v>0.47500296876855486</v>
      </c>
      <c r="T32" s="17" t="s">
        <v>180</v>
      </c>
      <c r="U32" s="5" t="s">
        <v>147</v>
      </c>
      <c r="V32" s="4"/>
    </row>
    <row r="33" spans="1:22" ht="20" customHeight="1" x14ac:dyDescent="0.35">
      <c r="A33" s="5">
        <v>30</v>
      </c>
      <c r="B33" s="57" t="s">
        <v>77</v>
      </c>
      <c r="C33" s="58" t="s">
        <v>23</v>
      </c>
      <c r="D33" s="56" t="s">
        <v>15</v>
      </c>
      <c r="E33" s="57" t="s">
        <v>12</v>
      </c>
      <c r="F33" s="57" t="s">
        <v>23</v>
      </c>
      <c r="G33" s="57" t="s">
        <v>14</v>
      </c>
      <c r="H33" s="56" t="s">
        <v>37</v>
      </c>
      <c r="I33" s="56" t="s">
        <v>29</v>
      </c>
      <c r="J33" s="56" t="s">
        <v>68</v>
      </c>
      <c r="K33" s="59" t="s">
        <v>55</v>
      </c>
      <c r="L33" s="59" t="s">
        <v>55</v>
      </c>
      <c r="M33" s="60" t="s">
        <v>55</v>
      </c>
      <c r="N33" s="61">
        <v>45931</v>
      </c>
      <c r="O33" s="62" t="s">
        <v>44</v>
      </c>
      <c r="P33" s="63">
        <v>100000</v>
      </c>
      <c r="Q33" s="84">
        <v>14000</v>
      </c>
      <c r="R33" s="64">
        <f t="shared" ref="R33" si="6">Q33/$R$2</f>
        <v>166.2510390689942</v>
      </c>
      <c r="S33" s="64">
        <f t="shared" ref="S33" si="7">(P33*R33)/1000000</f>
        <v>16.625103906899419</v>
      </c>
      <c r="T33" s="85" t="s">
        <v>181</v>
      </c>
      <c r="U33" s="56"/>
      <c r="V33" s="65" t="s">
        <v>182</v>
      </c>
    </row>
    <row r="34" spans="1:22" ht="20" customHeight="1" x14ac:dyDescent="0.35">
      <c r="A34" s="5">
        <v>31</v>
      </c>
      <c r="B34" s="74" t="s">
        <v>77</v>
      </c>
      <c r="C34" s="75" t="s">
        <v>207</v>
      </c>
      <c r="D34" s="73" t="s">
        <v>34</v>
      </c>
      <c r="E34" s="74" t="s">
        <v>47</v>
      </c>
      <c r="F34" s="74" t="s">
        <v>76</v>
      </c>
      <c r="G34" s="74" t="s">
        <v>14</v>
      </c>
      <c r="H34" s="73" t="s">
        <v>37</v>
      </c>
      <c r="I34" s="73" t="s">
        <v>29</v>
      </c>
      <c r="J34" s="73" t="s">
        <v>50</v>
      </c>
      <c r="K34" s="76" t="str">
        <f>VLOOKUP(J34,'Opportunity stage'!A$3:D$13,2,0)</f>
        <v>RFQ</v>
      </c>
      <c r="L34" s="76" t="str">
        <f>VLOOKUP(J34,'Opportunity stage'!A$3:D$13,3,0)</f>
        <v>Opportunity</v>
      </c>
      <c r="M34" s="77">
        <f>VLOOKUP(J34,'Opportunity stage'!A$3:D$13,4,0)</f>
        <v>0.5</v>
      </c>
      <c r="N34" s="78">
        <v>46174</v>
      </c>
      <c r="O34" s="79" t="s">
        <v>27</v>
      </c>
      <c r="P34" s="80">
        <v>100000</v>
      </c>
      <c r="Q34" s="80">
        <v>2500</v>
      </c>
      <c r="R34" s="81">
        <f t="shared" si="0"/>
        <v>29.687685548034679</v>
      </c>
      <c r="S34" s="81">
        <f t="shared" si="1"/>
        <v>2.9687685548034679</v>
      </c>
      <c r="T34" s="82" t="s">
        <v>201</v>
      </c>
      <c r="U34" s="73" t="s">
        <v>147</v>
      </c>
      <c r="V34" s="83"/>
    </row>
    <row r="35" spans="1:22" ht="20" customHeight="1" x14ac:dyDescent="0.35">
      <c r="A35" s="5">
        <v>32</v>
      </c>
      <c r="B35" s="2" t="s">
        <v>60</v>
      </c>
      <c r="C35" s="21" t="s">
        <v>174</v>
      </c>
      <c r="D35" s="5" t="s">
        <v>15</v>
      </c>
      <c r="E35" s="2" t="s">
        <v>12</v>
      </c>
      <c r="F35" s="2" t="s">
        <v>23</v>
      </c>
      <c r="G35" s="2" t="s">
        <v>33</v>
      </c>
      <c r="H35" s="5" t="s">
        <v>37</v>
      </c>
      <c r="I35" s="5" t="s">
        <v>29</v>
      </c>
      <c r="J35" s="5" t="s">
        <v>68</v>
      </c>
      <c r="K35" s="23" t="str">
        <f>VLOOKUP(J35,'Opportunity stage'!A$3:D$13,2,0)</f>
        <v>Dropped</v>
      </c>
      <c r="L35" s="23" t="str">
        <f>VLOOKUP(J35,'Opportunity stage'!A$3:D$13,3,0)</f>
        <v>Other</v>
      </c>
      <c r="M35" s="24">
        <f>VLOOKUP(J35,'Opportunity stage'!A$3:D$13,4,0)</f>
        <v>0</v>
      </c>
      <c r="N35" s="27">
        <v>45931</v>
      </c>
      <c r="O35" s="30" t="s">
        <v>44</v>
      </c>
      <c r="P35" s="28">
        <v>20000</v>
      </c>
      <c r="Q35" s="28">
        <v>13000</v>
      </c>
      <c r="R35" s="29">
        <f t="shared" si="0"/>
        <v>154.37596484978033</v>
      </c>
      <c r="S35" s="29">
        <f t="shared" si="1"/>
        <v>3.0875192969956067</v>
      </c>
      <c r="T35" s="17" t="s">
        <v>183</v>
      </c>
      <c r="U35" s="5" t="s">
        <v>147</v>
      </c>
      <c r="V35" s="5" t="s">
        <v>184</v>
      </c>
    </row>
    <row r="36" spans="1:22" ht="20" customHeight="1" x14ac:dyDescent="0.35">
      <c r="A36" s="5">
        <v>33</v>
      </c>
      <c r="B36" s="48" t="s">
        <v>103</v>
      </c>
      <c r="C36" s="49" t="s">
        <v>185</v>
      </c>
      <c r="D36" s="47" t="s">
        <v>15</v>
      </c>
      <c r="E36" s="48" t="s">
        <v>22</v>
      </c>
      <c r="F36" s="48" t="s">
        <v>48</v>
      </c>
      <c r="G36" s="48" t="s">
        <v>14</v>
      </c>
      <c r="H36" s="47" t="s">
        <v>28</v>
      </c>
      <c r="I36" s="47" t="s">
        <v>20</v>
      </c>
      <c r="J36" s="69" t="s">
        <v>62</v>
      </c>
      <c r="K36" s="50" t="str">
        <f>VLOOKUP(J36,'Opportunity stage'!A$3:D$13,2,0)</f>
        <v>Lost</v>
      </c>
      <c r="L36" s="50" t="str">
        <f>VLOOKUP(J36,'Opportunity stage'!A$3:D$13,3,0)</f>
        <v>Other</v>
      </c>
      <c r="M36" s="51">
        <f>VLOOKUP(J36,'Opportunity stage'!A$3:D$13,4,0)</f>
        <v>0</v>
      </c>
      <c r="N36" s="70" t="s">
        <v>55</v>
      </c>
      <c r="O36" s="52" t="s">
        <v>27</v>
      </c>
      <c r="P36" s="53">
        <f>127000*5</f>
        <v>635000</v>
      </c>
      <c r="Q36" s="53">
        <v>130</v>
      </c>
      <c r="R36" s="54">
        <f t="shared" ref="R36:R66" si="8">Q36/$R$2</f>
        <v>1.5437596484978031</v>
      </c>
      <c r="S36" s="54">
        <f t="shared" si="1"/>
        <v>0.98028737679610489</v>
      </c>
      <c r="T36" s="48"/>
      <c r="U36" s="47"/>
      <c r="V36" s="55"/>
    </row>
    <row r="37" spans="1:22" ht="20" customHeight="1" x14ac:dyDescent="0.35">
      <c r="A37" s="5">
        <v>34</v>
      </c>
      <c r="B37" s="48" t="s">
        <v>103</v>
      </c>
      <c r="C37" s="21" t="s">
        <v>156</v>
      </c>
      <c r="D37" s="5" t="s">
        <v>34</v>
      </c>
      <c r="E37" s="2" t="s">
        <v>47</v>
      </c>
      <c r="F37" s="2" t="s">
        <v>76</v>
      </c>
      <c r="G37" s="2" t="s">
        <v>14</v>
      </c>
      <c r="H37" s="5" t="s">
        <v>28</v>
      </c>
      <c r="I37" s="5" t="s">
        <v>29</v>
      </c>
      <c r="J37" s="5" t="s">
        <v>35</v>
      </c>
      <c r="K37" s="23" t="str">
        <f>VLOOKUP(J37,'Opportunity stage'!A$3:D$13,2,0)</f>
        <v>Lead</v>
      </c>
      <c r="L37" s="23" t="str">
        <f>VLOOKUP(J37,'Opportunity stage'!A$3:D$13,3,0)</f>
        <v>Lead Qualification</v>
      </c>
      <c r="M37" s="24">
        <f>VLOOKUP(J37,'Opportunity stage'!A$3:D$13,4,0)</f>
        <v>0.5</v>
      </c>
      <c r="N37" s="72">
        <v>46447</v>
      </c>
      <c r="O37" s="52" t="s">
        <v>27</v>
      </c>
      <c r="P37" s="31">
        <f>127000*5</f>
        <v>635000</v>
      </c>
      <c r="Q37" s="28">
        <v>1900</v>
      </c>
      <c r="R37" s="29">
        <f t="shared" si="8"/>
        <v>22.562641016506355</v>
      </c>
      <c r="S37" s="29">
        <f t="shared" si="1"/>
        <v>14.327277045481535</v>
      </c>
      <c r="T37" s="2" t="s">
        <v>219</v>
      </c>
      <c r="U37" s="5"/>
      <c r="V37" s="4"/>
    </row>
    <row r="38" spans="1:22" ht="20" customHeight="1" x14ac:dyDescent="0.35">
      <c r="A38" s="5">
        <v>35</v>
      </c>
      <c r="B38" s="2" t="s">
        <v>103</v>
      </c>
      <c r="C38" s="21" t="s">
        <v>212</v>
      </c>
      <c r="D38" s="5" t="s">
        <v>34</v>
      </c>
      <c r="E38" s="2" t="s">
        <v>47</v>
      </c>
      <c r="F38" s="2" t="s">
        <v>78</v>
      </c>
      <c r="G38" s="2" t="s">
        <v>14</v>
      </c>
      <c r="H38" s="5" t="s">
        <v>28</v>
      </c>
      <c r="I38" s="5" t="s">
        <v>29</v>
      </c>
      <c r="J38" s="5" t="s">
        <v>35</v>
      </c>
      <c r="K38" s="23" t="str">
        <f>VLOOKUP(J38,'Opportunity stage'!A$3:D$13,2,0)</f>
        <v>Lead</v>
      </c>
      <c r="L38" s="23" t="str">
        <f>VLOOKUP(J38,'Opportunity stage'!A$3:D$13,3,0)</f>
        <v>Lead Qualification</v>
      </c>
      <c r="M38" s="24">
        <f>VLOOKUP(J38,'Opportunity stage'!A$3:D$13,4,0)</f>
        <v>0.5</v>
      </c>
      <c r="N38" s="70">
        <v>46447</v>
      </c>
      <c r="O38" s="52" t="s">
        <v>27</v>
      </c>
      <c r="P38" s="53">
        <f>127000*5</f>
        <v>635000</v>
      </c>
      <c r="Q38" s="28">
        <v>500</v>
      </c>
      <c r="R38" s="29">
        <f t="shared" si="8"/>
        <v>5.9375371096069358</v>
      </c>
      <c r="S38" s="29">
        <f t="shared" si="1"/>
        <v>3.7703360646004045</v>
      </c>
      <c r="T38" s="2" t="s">
        <v>219</v>
      </c>
      <c r="U38" s="5"/>
      <c r="V38" s="4"/>
    </row>
    <row r="39" spans="1:22" ht="20" customHeight="1" x14ac:dyDescent="0.35">
      <c r="A39" s="5">
        <v>36</v>
      </c>
      <c r="B39" s="2" t="s">
        <v>38</v>
      </c>
      <c r="C39" s="21" t="s">
        <v>214</v>
      </c>
      <c r="D39" s="5" t="s">
        <v>34</v>
      </c>
      <c r="E39" s="2" t="s">
        <v>31</v>
      </c>
      <c r="F39" s="2" t="s">
        <v>64</v>
      </c>
      <c r="G39" s="2" t="s">
        <v>14</v>
      </c>
      <c r="H39" s="5" t="s">
        <v>28</v>
      </c>
      <c r="I39" s="5" t="s">
        <v>29</v>
      </c>
      <c r="J39" s="5" t="s">
        <v>54</v>
      </c>
      <c r="K39" s="23" t="str">
        <f>VLOOKUP(J39,'Opportunity stage'!A$3:D$13,2,0)</f>
        <v>RFQ</v>
      </c>
      <c r="L39" s="23" t="str">
        <f>VLOOKUP(J39,'Opportunity stage'!A$3:D$13,3,0)</f>
        <v>Negotiation</v>
      </c>
      <c r="M39" s="24">
        <f>VLOOKUP(J39,'Opportunity stage'!A$3:D$13,4,0)</f>
        <v>0.75</v>
      </c>
      <c r="N39" s="27">
        <v>46082</v>
      </c>
      <c r="O39" s="30" t="s">
        <v>36</v>
      </c>
      <c r="P39" s="71">
        <v>377000</v>
      </c>
      <c r="Q39" s="71">
        <v>16000</v>
      </c>
      <c r="R39" s="29">
        <f t="shared" si="8"/>
        <v>190.00118750742195</v>
      </c>
      <c r="S39" s="29">
        <f t="shared" si="1"/>
        <v>71.630447690298084</v>
      </c>
      <c r="T39" s="2" t="s">
        <v>216</v>
      </c>
      <c r="U39" s="5"/>
      <c r="V39" s="4"/>
    </row>
    <row r="40" spans="1:22" ht="20" customHeight="1" x14ac:dyDescent="0.35">
      <c r="A40" s="5">
        <v>37</v>
      </c>
      <c r="B40" s="2" t="s">
        <v>66</v>
      </c>
      <c r="C40" s="21" t="s">
        <v>222</v>
      </c>
      <c r="D40" s="5" t="s">
        <v>15</v>
      </c>
      <c r="E40" s="2" t="s">
        <v>22</v>
      </c>
      <c r="F40" s="2" t="s">
        <v>48</v>
      </c>
      <c r="G40" s="2" t="s">
        <v>14</v>
      </c>
      <c r="H40" s="5" t="s">
        <v>28</v>
      </c>
      <c r="I40" s="5" t="s">
        <v>20</v>
      </c>
      <c r="J40" s="68" t="s">
        <v>62</v>
      </c>
      <c r="K40" s="23" t="str">
        <f>VLOOKUP(J40,'Opportunity stage'!A$3:D$13,2,0)</f>
        <v>Lost</v>
      </c>
      <c r="L40" s="23" t="str">
        <f>VLOOKUP(J40,'Opportunity stage'!A$3:D$13,3,0)</f>
        <v>Other</v>
      </c>
      <c r="M40" s="24">
        <f>VLOOKUP(J40,'Opportunity stage'!A$3:D$13,4,0)</f>
        <v>0</v>
      </c>
      <c r="N40" s="67" t="s">
        <v>55</v>
      </c>
      <c r="O40" s="30" t="s">
        <v>18</v>
      </c>
      <c r="P40" s="28">
        <f>100000*5</f>
        <v>500000</v>
      </c>
      <c r="Q40" s="28">
        <v>130</v>
      </c>
      <c r="R40" s="29">
        <f t="shared" si="8"/>
        <v>1.5437596484978031</v>
      </c>
      <c r="S40" s="29">
        <f t="shared" si="1"/>
        <v>0.77187982424890156</v>
      </c>
      <c r="T40" s="2"/>
      <c r="U40" s="5"/>
      <c r="V40" s="4"/>
    </row>
    <row r="41" spans="1:22" ht="20" customHeight="1" x14ac:dyDescent="0.35">
      <c r="A41" s="5">
        <v>38</v>
      </c>
      <c r="B41" s="2" t="s">
        <v>94</v>
      </c>
      <c r="C41" s="21" t="s">
        <v>186</v>
      </c>
      <c r="D41" s="5" t="s">
        <v>34</v>
      </c>
      <c r="E41" s="2" t="s">
        <v>31</v>
      </c>
      <c r="F41" s="2" t="s">
        <v>86</v>
      </c>
      <c r="G41" s="2" t="s">
        <v>14</v>
      </c>
      <c r="H41" s="5" t="s">
        <v>28</v>
      </c>
      <c r="I41" s="5" t="s">
        <v>29</v>
      </c>
      <c r="J41" s="5" t="s">
        <v>50</v>
      </c>
      <c r="K41" s="23" t="str">
        <f>VLOOKUP(J41,'Opportunity stage'!A$3:D$13,2,0)</f>
        <v>RFQ</v>
      </c>
      <c r="L41" s="23" t="str">
        <f>VLOOKUP(J41,'Opportunity stage'!A$3:D$13,3,0)</f>
        <v>Opportunity</v>
      </c>
      <c r="M41" s="24">
        <f>VLOOKUP(J41,'Opportunity stage'!A$3:D$13,4,0)</f>
        <v>0.5</v>
      </c>
      <c r="N41" s="27">
        <v>46357</v>
      </c>
      <c r="O41" s="30" t="s">
        <v>27</v>
      </c>
      <c r="P41" s="28">
        <v>4750</v>
      </c>
      <c r="Q41" s="28">
        <v>11000</v>
      </c>
      <c r="R41" s="29">
        <f t="shared" si="8"/>
        <v>130.62581641135259</v>
      </c>
      <c r="S41" s="29">
        <f t="shared" si="1"/>
        <v>0.62047262795392477</v>
      </c>
      <c r="T41" s="2" t="s">
        <v>206</v>
      </c>
      <c r="U41" s="5"/>
      <c r="V41" s="4"/>
    </row>
    <row r="42" spans="1:22" ht="20" customHeight="1" x14ac:dyDescent="0.35">
      <c r="A42" s="5">
        <v>39</v>
      </c>
      <c r="B42" s="2" t="s">
        <v>63</v>
      </c>
      <c r="C42" s="21" t="s">
        <v>220</v>
      </c>
      <c r="D42" s="5" t="s">
        <v>34</v>
      </c>
      <c r="E42" s="2" t="s">
        <v>47</v>
      </c>
      <c r="F42" s="2" t="s">
        <v>76</v>
      </c>
      <c r="G42" s="2" t="s">
        <v>14</v>
      </c>
      <c r="H42" s="5" t="s">
        <v>28</v>
      </c>
      <c r="I42" s="5" t="s">
        <v>29</v>
      </c>
      <c r="J42" s="5" t="s">
        <v>35</v>
      </c>
      <c r="K42" s="23" t="str">
        <f>VLOOKUP(J42,'Opportunity stage'!A$3:D$13,2,0)</f>
        <v>Lead</v>
      </c>
      <c r="L42" s="23" t="str">
        <f>VLOOKUP(J42,'Opportunity stage'!A$3:D$13,3,0)</f>
        <v>Lead Qualification</v>
      </c>
      <c r="M42" s="24">
        <f>VLOOKUP(J42,'Opportunity stage'!A$3:D$13,4,0)</f>
        <v>0.5</v>
      </c>
      <c r="N42" s="27">
        <v>46357</v>
      </c>
      <c r="O42" s="30" t="s">
        <v>27</v>
      </c>
      <c r="P42" s="28">
        <v>210000</v>
      </c>
      <c r="Q42" s="28">
        <v>2100</v>
      </c>
      <c r="R42" s="29">
        <f t="shared" si="8"/>
        <v>24.937655860349128</v>
      </c>
      <c r="S42" s="29">
        <f t="shared" si="1"/>
        <v>5.2369077306733169</v>
      </c>
      <c r="T42" s="2" t="s">
        <v>225</v>
      </c>
      <c r="U42" s="5"/>
      <c r="V42" s="4"/>
    </row>
    <row r="43" spans="1:22" ht="20" customHeight="1" x14ac:dyDescent="0.35">
      <c r="A43" s="5">
        <v>40</v>
      </c>
      <c r="B43" s="2" t="s">
        <v>66</v>
      </c>
      <c r="C43" s="21" t="s">
        <v>223</v>
      </c>
      <c r="D43" s="5" t="s">
        <v>15</v>
      </c>
      <c r="E43" s="2" t="s">
        <v>22</v>
      </c>
      <c r="F43" s="2" t="s">
        <v>48</v>
      </c>
      <c r="G43" s="2" t="s">
        <v>14</v>
      </c>
      <c r="H43" s="5" t="s">
        <v>28</v>
      </c>
      <c r="I43" s="5" t="s">
        <v>20</v>
      </c>
      <c r="J43" s="68" t="s">
        <v>62</v>
      </c>
      <c r="K43" s="23" t="str">
        <f>VLOOKUP(J43,'Opportunity stage'!A$3:D$13,2,0)</f>
        <v>Lost</v>
      </c>
      <c r="L43" s="23" t="str">
        <f>VLOOKUP(J43,'Opportunity stage'!A$3:D$13,3,0)</f>
        <v>Other</v>
      </c>
      <c r="M43" s="24">
        <f>VLOOKUP(J43,'Opportunity stage'!A$3:D$13,4,0)</f>
        <v>0</v>
      </c>
      <c r="N43" s="67" t="s">
        <v>55</v>
      </c>
      <c r="O43" s="30" t="s">
        <v>36</v>
      </c>
      <c r="P43" s="28">
        <v>79800</v>
      </c>
      <c r="Q43" s="28">
        <v>5000</v>
      </c>
      <c r="R43" s="29">
        <f t="shared" si="8"/>
        <v>59.375371096069358</v>
      </c>
      <c r="S43" s="29">
        <f t="shared" si="1"/>
        <v>4.7381546134663344</v>
      </c>
      <c r="T43" s="2"/>
      <c r="U43" s="5"/>
      <c r="V43" s="4"/>
    </row>
    <row r="44" spans="1:22" ht="20" customHeight="1" x14ac:dyDescent="0.35">
      <c r="A44" s="5">
        <v>41</v>
      </c>
      <c r="B44" s="2" t="s">
        <v>38</v>
      </c>
      <c r="C44" s="21" t="s">
        <v>215</v>
      </c>
      <c r="D44" s="5" t="s">
        <v>34</v>
      </c>
      <c r="E44" s="2" t="s">
        <v>31</v>
      </c>
      <c r="F44" s="2" t="s">
        <v>64</v>
      </c>
      <c r="G44" s="2" t="s">
        <v>14</v>
      </c>
      <c r="H44" s="5" t="s">
        <v>28</v>
      </c>
      <c r="I44" s="5" t="s">
        <v>29</v>
      </c>
      <c r="J44" s="5" t="s">
        <v>54</v>
      </c>
      <c r="K44" s="23" t="str">
        <f>VLOOKUP(J44,'Opportunity stage'!A$3:D$13,2,0)</f>
        <v>RFQ</v>
      </c>
      <c r="L44" s="23" t="str">
        <f>VLOOKUP(J44,'Opportunity stage'!A$3:D$13,3,0)</f>
        <v>Negotiation</v>
      </c>
      <c r="M44" s="24">
        <f>VLOOKUP(J44,'Opportunity stage'!A$3:D$13,4,0)</f>
        <v>0.75</v>
      </c>
      <c r="N44" s="27">
        <v>46082</v>
      </c>
      <c r="O44" s="30" t="s">
        <v>36</v>
      </c>
      <c r="P44" s="71">
        <v>377000</v>
      </c>
      <c r="Q44" s="71">
        <v>13000</v>
      </c>
      <c r="R44" s="29">
        <f t="shared" si="8"/>
        <v>154.37596484978033</v>
      </c>
      <c r="S44" s="29">
        <f t="shared" si="1"/>
        <v>58.199738748367182</v>
      </c>
      <c r="T44" s="2" t="s">
        <v>216</v>
      </c>
      <c r="U44" s="5"/>
      <c r="V44" s="4"/>
    </row>
    <row r="45" spans="1:22" ht="20" customHeight="1" x14ac:dyDescent="0.35">
      <c r="A45" s="5">
        <v>42</v>
      </c>
      <c r="B45" s="2" t="s">
        <v>81</v>
      </c>
      <c r="C45" s="21" t="s">
        <v>187</v>
      </c>
      <c r="D45" s="5" t="s">
        <v>15</v>
      </c>
      <c r="E45" s="2" t="s">
        <v>22</v>
      </c>
      <c r="F45" s="2" t="s">
        <v>48</v>
      </c>
      <c r="G45" s="2" t="s">
        <v>14</v>
      </c>
      <c r="H45" s="5" t="s">
        <v>37</v>
      </c>
      <c r="I45" s="5" t="s">
        <v>20</v>
      </c>
      <c r="J45" s="5" t="s">
        <v>54</v>
      </c>
      <c r="K45" s="23" t="str">
        <f>VLOOKUP(J45,'Opportunity stage'!A$3:D$13,2,0)</f>
        <v>RFQ</v>
      </c>
      <c r="L45" s="23" t="str">
        <f>VLOOKUP(J45,'Opportunity stage'!A$3:D$13,3,0)</f>
        <v>Negotiation</v>
      </c>
      <c r="M45" s="24">
        <f>VLOOKUP(J45,'Opportunity stage'!A$3:D$13,4,0)</f>
        <v>0.75</v>
      </c>
      <c r="N45" s="27">
        <v>46082</v>
      </c>
      <c r="O45" s="30" t="s">
        <v>27</v>
      </c>
      <c r="P45" s="28">
        <f>6000*2</f>
        <v>12000</v>
      </c>
      <c r="Q45" s="28">
        <v>2500</v>
      </c>
      <c r="R45" s="29">
        <f t="shared" si="8"/>
        <v>29.687685548034679</v>
      </c>
      <c r="S45" s="29">
        <f t="shared" si="1"/>
        <v>0.3562522265764162</v>
      </c>
      <c r="T45" s="2" t="s">
        <v>209</v>
      </c>
      <c r="U45" s="5"/>
      <c r="V45" s="4"/>
    </row>
    <row r="46" spans="1:22" ht="20" customHeight="1" x14ac:dyDescent="0.35">
      <c r="A46" s="5">
        <v>43</v>
      </c>
      <c r="B46" s="2" t="s">
        <v>81</v>
      </c>
      <c r="C46" s="21" t="s">
        <v>188</v>
      </c>
      <c r="D46" s="5" t="s">
        <v>15</v>
      </c>
      <c r="E46" s="2" t="s">
        <v>12</v>
      </c>
      <c r="F46" s="2" t="s">
        <v>23</v>
      </c>
      <c r="G46" s="2" t="s">
        <v>14</v>
      </c>
      <c r="H46" s="5" t="s">
        <v>37</v>
      </c>
      <c r="I46" s="5" t="s">
        <v>20</v>
      </c>
      <c r="J46" s="5" t="s">
        <v>54</v>
      </c>
      <c r="K46" s="23" t="str">
        <f>VLOOKUP(J46,'Opportunity stage'!A$3:D$13,2,0)</f>
        <v>RFQ</v>
      </c>
      <c r="L46" s="23" t="str">
        <f>VLOOKUP(J46,'Opportunity stage'!A$3:D$13,3,0)</f>
        <v>Negotiation</v>
      </c>
      <c r="M46" s="24">
        <f>VLOOKUP(J46,'Opportunity stage'!A$3:D$13,4,0)</f>
        <v>0.75</v>
      </c>
      <c r="N46" s="27">
        <v>46082</v>
      </c>
      <c r="O46" s="30" t="s">
        <v>27</v>
      </c>
      <c r="P46" s="28">
        <v>6000</v>
      </c>
      <c r="Q46" s="28">
        <v>3200</v>
      </c>
      <c r="R46" s="29">
        <f t="shared" si="8"/>
        <v>38.000237501484385</v>
      </c>
      <c r="S46" s="29">
        <f t="shared" si="1"/>
        <v>0.2280014250089063</v>
      </c>
      <c r="T46" s="2" t="s">
        <v>209</v>
      </c>
      <c r="U46" s="5"/>
      <c r="V46" s="4"/>
    </row>
    <row r="47" spans="1:22" ht="20" customHeight="1" x14ac:dyDescent="0.35">
      <c r="A47" s="5">
        <v>44</v>
      </c>
      <c r="B47" s="2" t="s">
        <v>96</v>
      </c>
      <c r="C47" s="21" t="s">
        <v>188</v>
      </c>
      <c r="D47" s="5" t="s">
        <v>15</v>
      </c>
      <c r="E47" s="2" t="s">
        <v>12</v>
      </c>
      <c r="F47" s="2" t="s">
        <v>23</v>
      </c>
      <c r="G47" s="2" t="s">
        <v>14</v>
      </c>
      <c r="H47" s="5" t="s">
        <v>37</v>
      </c>
      <c r="I47" s="5" t="s">
        <v>20</v>
      </c>
      <c r="J47" s="5" t="s">
        <v>68</v>
      </c>
      <c r="K47" s="23" t="str">
        <f>VLOOKUP(J47,'Opportunity stage'!A$3:D$13,2,0)</f>
        <v>Dropped</v>
      </c>
      <c r="L47" s="23" t="str">
        <f>VLOOKUP(J47,'Opportunity stage'!A$3:D$13,3,0)</f>
        <v>Other</v>
      </c>
      <c r="M47" s="24">
        <f>VLOOKUP(J47,'Opportunity stage'!A$3:D$13,4,0)</f>
        <v>0</v>
      </c>
      <c r="N47" s="27" t="s">
        <v>44</v>
      </c>
      <c r="O47" s="30" t="s">
        <v>44</v>
      </c>
      <c r="P47" s="28">
        <v>93100</v>
      </c>
      <c r="Q47" s="28">
        <v>1500</v>
      </c>
      <c r="R47" s="29">
        <f t="shared" si="8"/>
        <v>17.812611328820807</v>
      </c>
      <c r="S47" s="29">
        <f t="shared" si="1"/>
        <v>1.658354114713217</v>
      </c>
      <c r="T47" s="2"/>
      <c r="U47" s="5"/>
      <c r="V47" s="4"/>
    </row>
    <row r="48" spans="1:22" ht="20" customHeight="1" x14ac:dyDescent="0.35">
      <c r="A48" s="5">
        <v>45</v>
      </c>
      <c r="B48" s="2" t="s">
        <v>30</v>
      </c>
      <c r="C48" s="21" t="s">
        <v>174</v>
      </c>
      <c r="D48" s="5" t="s">
        <v>15</v>
      </c>
      <c r="E48" s="2" t="s">
        <v>12</v>
      </c>
      <c r="F48" s="2" t="s">
        <v>23</v>
      </c>
      <c r="G48" s="2" t="s">
        <v>14</v>
      </c>
      <c r="H48" s="5" t="s">
        <v>37</v>
      </c>
      <c r="I48" s="5" t="s">
        <v>29</v>
      </c>
      <c r="J48" s="5" t="s">
        <v>16</v>
      </c>
      <c r="K48" s="23" t="str">
        <f>VLOOKUP(J48,'Opportunity stage'!A$3:D$13,2,0)</f>
        <v>Before Lead</v>
      </c>
      <c r="L48" s="23" t="str">
        <f>VLOOKUP(J48,'Opportunity stage'!A$3:D$13,3,0)</f>
        <v>Planning</v>
      </c>
      <c r="M48" s="24">
        <f>VLOOKUP(J48,'Opportunity stage'!A$3:D$13,4,0)</f>
        <v>0</v>
      </c>
      <c r="N48" s="27" t="s">
        <v>17</v>
      </c>
      <c r="O48" s="30" t="s">
        <v>36</v>
      </c>
      <c r="P48" s="28">
        <v>50000</v>
      </c>
      <c r="Q48" s="28">
        <v>8000</v>
      </c>
      <c r="R48" s="29">
        <f t="shared" si="8"/>
        <v>95.000593753710973</v>
      </c>
      <c r="S48" s="29">
        <f t="shared" si="1"/>
        <v>4.7500296876855481</v>
      </c>
      <c r="T48" s="2" t="s">
        <v>189</v>
      </c>
      <c r="U48" s="5"/>
      <c r="V48" s="4"/>
    </row>
    <row r="49" spans="1:22" ht="20" customHeight="1" x14ac:dyDescent="0.35">
      <c r="A49" s="5">
        <v>46</v>
      </c>
      <c r="B49" s="2" t="s">
        <v>197</v>
      </c>
      <c r="C49" s="21" t="s">
        <v>198</v>
      </c>
      <c r="D49" s="5" t="s">
        <v>34</v>
      </c>
      <c r="E49" s="2" t="s">
        <v>31</v>
      </c>
      <c r="F49" s="2" t="s">
        <v>67</v>
      </c>
      <c r="G49" s="2" t="s">
        <v>14</v>
      </c>
      <c r="H49" s="5" t="s">
        <v>19</v>
      </c>
      <c r="I49" s="5" t="s">
        <v>20</v>
      </c>
      <c r="J49" s="5" t="s">
        <v>16</v>
      </c>
      <c r="K49" s="23" t="str">
        <f>VLOOKUP(J49,'Opportunity stage'!A$3:D$13,2,0)</f>
        <v>Before Lead</v>
      </c>
      <c r="L49" s="23" t="str">
        <f>VLOOKUP(J49,'Opportunity stage'!A$3:D$13,3,0)</f>
        <v>Planning</v>
      </c>
      <c r="M49" s="24">
        <f>VLOOKUP(J49,'Opportunity stage'!A$3:D$13,4,0)</f>
        <v>0</v>
      </c>
      <c r="N49" s="27" t="s">
        <v>17</v>
      </c>
      <c r="O49" s="30" t="s">
        <v>36</v>
      </c>
      <c r="P49" s="28">
        <v>0</v>
      </c>
      <c r="Q49" s="28">
        <v>0</v>
      </c>
      <c r="R49" s="29">
        <f t="shared" si="8"/>
        <v>0</v>
      </c>
      <c r="S49" s="29">
        <f t="shared" si="1"/>
        <v>0</v>
      </c>
      <c r="T49" s="2"/>
      <c r="U49" s="5"/>
      <c r="V49" s="4"/>
    </row>
    <row r="50" spans="1:22" ht="20" customHeight="1" x14ac:dyDescent="0.35">
      <c r="A50" s="5">
        <v>47</v>
      </c>
      <c r="B50" s="2" t="s">
        <v>197</v>
      </c>
      <c r="C50" s="21" t="s">
        <v>199</v>
      </c>
      <c r="D50" s="5" t="s">
        <v>34</v>
      </c>
      <c r="E50" s="2" t="s">
        <v>31</v>
      </c>
      <c r="F50" s="2" t="s">
        <v>84</v>
      </c>
      <c r="G50" s="2" t="s">
        <v>14</v>
      </c>
      <c r="H50" s="5" t="s">
        <v>19</v>
      </c>
      <c r="I50" s="5" t="s">
        <v>20</v>
      </c>
      <c r="J50" s="5" t="s">
        <v>16</v>
      </c>
      <c r="K50" s="23" t="str">
        <f>VLOOKUP(J50,'Opportunity stage'!A$3:D$13,2,0)</f>
        <v>Before Lead</v>
      </c>
      <c r="L50" s="23" t="str">
        <f>VLOOKUP(J50,'Opportunity stage'!A$3:D$13,3,0)</f>
        <v>Planning</v>
      </c>
      <c r="M50" s="24">
        <f>VLOOKUP(J50,'Opportunity stage'!A$3:D$13,4,0)</f>
        <v>0</v>
      </c>
      <c r="N50" s="27" t="s">
        <v>17</v>
      </c>
      <c r="O50" s="30" t="s">
        <v>36</v>
      </c>
      <c r="P50" s="28">
        <v>0</v>
      </c>
      <c r="Q50" s="28">
        <v>0</v>
      </c>
      <c r="R50" s="29">
        <f t="shared" si="8"/>
        <v>0</v>
      </c>
      <c r="S50" s="29">
        <f t="shared" si="1"/>
        <v>0</v>
      </c>
      <c r="T50" s="2"/>
      <c r="U50" s="5"/>
      <c r="V50" s="4"/>
    </row>
    <row r="51" spans="1:22" ht="20" customHeight="1" x14ac:dyDescent="0.35">
      <c r="A51" s="5">
        <v>48</v>
      </c>
      <c r="B51" s="2" t="s">
        <v>38</v>
      </c>
      <c r="C51" s="21" t="s">
        <v>207</v>
      </c>
      <c r="D51" s="5" t="s">
        <v>34</v>
      </c>
      <c r="E51" s="2" t="s">
        <v>47</v>
      </c>
      <c r="F51" s="2" t="s">
        <v>76</v>
      </c>
      <c r="G51" s="2" t="s">
        <v>14</v>
      </c>
      <c r="H51" s="5" t="s">
        <v>28</v>
      </c>
      <c r="I51" s="5" t="s">
        <v>29</v>
      </c>
      <c r="J51" s="5" t="s">
        <v>54</v>
      </c>
      <c r="K51" s="23" t="str">
        <f>VLOOKUP(J51,'Opportunity stage'!A$3:D$13,2,0)</f>
        <v>RFQ</v>
      </c>
      <c r="L51" s="23" t="str">
        <f>VLOOKUP(J51,'Opportunity stage'!A$3:D$13,3,0)</f>
        <v>Negotiation</v>
      </c>
      <c r="M51" s="24">
        <f>VLOOKUP(J51,'Opportunity stage'!A$3:D$13,4,0)</f>
        <v>0.75</v>
      </c>
      <c r="N51" s="27">
        <v>46082</v>
      </c>
      <c r="O51" s="30" t="s">
        <v>27</v>
      </c>
      <c r="P51" s="28">
        <v>1500000</v>
      </c>
      <c r="Q51" s="28">
        <v>2100</v>
      </c>
      <c r="R51" s="29">
        <f t="shared" si="8"/>
        <v>24.937655860349128</v>
      </c>
      <c r="S51" s="29">
        <f t="shared" si="1"/>
        <v>37.406483790523694</v>
      </c>
      <c r="T51" s="2" t="s">
        <v>210</v>
      </c>
      <c r="U51" s="5"/>
      <c r="V51" s="4"/>
    </row>
    <row r="52" spans="1:22" ht="20" customHeight="1" x14ac:dyDescent="0.35">
      <c r="A52" s="5">
        <v>49</v>
      </c>
      <c r="B52" s="2" t="s">
        <v>38</v>
      </c>
      <c r="C52" s="21" t="s">
        <v>217</v>
      </c>
      <c r="D52" s="5" t="s">
        <v>34</v>
      </c>
      <c r="E52" s="2" t="s">
        <v>31</v>
      </c>
      <c r="F52" s="2" t="s">
        <v>64</v>
      </c>
      <c r="G52" s="2" t="s">
        <v>14</v>
      </c>
      <c r="H52" s="5" t="s">
        <v>28</v>
      </c>
      <c r="I52" s="5" t="s">
        <v>29</v>
      </c>
      <c r="J52" s="5" t="s">
        <v>16</v>
      </c>
      <c r="K52" s="23" t="str">
        <f>VLOOKUP(J52,'Opportunity stage'!A$3:D$13,2,0)</f>
        <v>Before Lead</v>
      </c>
      <c r="L52" s="23" t="str">
        <f>VLOOKUP(J52,'Opportunity stage'!A$3:D$13,3,0)</f>
        <v>Planning</v>
      </c>
      <c r="M52" s="24">
        <f>VLOOKUP(J52,'Opportunity stage'!A$3:D$13,4,0)</f>
        <v>0</v>
      </c>
      <c r="N52" s="27" t="s">
        <v>17</v>
      </c>
      <c r="O52" s="30" t="s">
        <v>36</v>
      </c>
      <c r="P52" s="28">
        <f>50000*5</f>
        <v>250000</v>
      </c>
      <c r="Q52" s="28">
        <v>8000</v>
      </c>
      <c r="R52" s="29">
        <f t="shared" si="8"/>
        <v>95.000593753710973</v>
      </c>
      <c r="S52" s="29">
        <f t="shared" si="1"/>
        <v>23.750148438427743</v>
      </c>
      <c r="T52" s="2" t="s">
        <v>218</v>
      </c>
      <c r="U52" s="5"/>
      <c r="V52" s="4"/>
    </row>
    <row r="53" spans="1:22" ht="20" customHeight="1" x14ac:dyDescent="0.35">
      <c r="A53" s="5">
        <v>50</v>
      </c>
      <c r="B53" s="2" t="s">
        <v>52</v>
      </c>
      <c r="C53" s="21" t="s">
        <v>226</v>
      </c>
      <c r="D53" s="5" t="s">
        <v>34</v>
      </c>
      <c r="E53" s="2" t="s">
        <v>31</v>
      </c>
      <c r="F53" s="2" t="s">
        <v>67</v>
      </c>
      <c r="G53" s="2" t="s">
        <v>14</v>
      </c>
      <c r="H53" s="5" t="s">
        <v>28</v>
      </c>
      <c r="I53" s="5" t="s">
        <v>29</v>
      </c>
      <c r="J53" s="5" t="s">
        <v>50</v>
      </c>
      <c r="K53" s="23" t="str">
        <f>VLOOKUP(J53,'Opportunity stage'!A$3:D$13,2,0)</f>
        <v>RFQ</v>
      </c>
      <c r="L53" s="23" t="str">
        <f>VLOOKUP(J53,'Opportunity stage'!A$3:D$13,3,0)</f>
        <v>Opportunity</v>
      </c>
      <c r="M53" s="24">
        <f>VLOOKUP(J53,'Opportunity stage'!A$3:D$13,4,0)</f>
        <v>0.5</v>
      </c>
      <c r="N53" s="27">
        <v>46082</v>
      </c>
      <c r="O53" s="30" t="s">
        <v>27</v>
      </c>
      <c r="P53" s="28">
        <v>1000000</v>
      </c>
      <c r="Q53" s="28">
        <v>1200</v>
      </c>
      <c r="R53" s="29">
        <f t="shared" si="8"/>
        <v>14.250089063056645</v>
      </c>
      <c r="S53" s="29">
        <f t="shared" si="1"/>
        <v>14.250089063056645</v>
      </c>
      <c r="T53" s="2" t="s">
        <v>227</v>
      </c>
      <c r="U53" s="5"/>
      <c r="V53" s="4"/>
    </row>
    <row r="54" spans="1:22" ht="20" customHeight="1" x14ac:dyDescent="0.35">
      <c r="A54" s="5">
        <v>51</v>
      </c>
      <c r="B54" s="2" t="s">
        <v>38</v>
      </c>
      <c r="C54" s="21" t="s">
        <v>228</v>
      </c>
      <c r="D54" s="5" t="s">
        <v>15</v>
      </c>
      <c r="E54" s="2" t="s">
        <v>22</v>
      </c>
      <c r="F54" s="2" t="s">
        <v>57</v>
      </c>
      <c r="G54" s="2" t="s">
        <v>14</v>
      </c>
      <c r="H54" s="5" t="s">
        <v>37</v>
      </c>
      <c r="I54" s="5" t="s">
        <v>20</v>
      </c>
      <c r="J54" s="5" t="s">
        <v>43</v>
      </c>
      <c r="K54" s="23" t="str">
        <f>VLOOKUP(J54,'Opportunity stage'!A$3:D$13,2,0)</f>
        <v>Lead</v>
      </c>
      <c r="L54" s="23" t="str">
        <f>VLOOKUP(J54,'Opportunity stage'!A$3:D$13,3,0)</f>
        <v>Supplier Qualification</v>
      </c>
      <c r="M54" s="24">
        <f>VLOOKUP(J54,'Opportunity stage'!A$3:D$13,4,0)</f>
        <v>0.5</v>
      </c>
      <c r="N54" s="27">
        <v>46357</v>
      </c>
      <c r="O54" s="30" t="s">
        <v>36</v>
      </c>
      <c r="P54" s="28">
        <f>25000*5</f>
        <v>125000</v>
      </c>
      <c r="Q54" s="28">
        <v>5000</v>
      </c>
      <c r="R54" s="29">
        <f t="shared" si="8"/>
        <v>59.375371096069358</v>
      </c>
      <c r="S54" s="29">
        <f t="shared" si="1"/>
        <v>7.4219213870086698</v>
      </c>
      <c r="T54" s="2" t="s">
        <v>229</v>
      </c>
      <c r="U54" s="5"/>
      <c r="V54" s="4"/>
    </row>
    <row r="55" spans="1:22" ht="20" customHeight="1" x14ac:dyDescent="0.35">
      <c r="A55" s="5">
        <v>52</v>
      </c>
      <c r="B55" s="2"/>
      <c r="C55" s="21"/>
      <c r="D55" s="5"/>
      <c r="E55" s="2"/>
      <c r="F55" s="2"/>
      <c r="G55" s="2"/>
      <c r="H55" s="5"/>
      <c r="I55" s="5"/>
      <c r="J55" s="5"/>
      <c r="K55" s="23" t="e">
        <f>VLOOKUP(J55,'Opportunity stage'!A$3:D$13,2,0)</f>
        <v>#N/A</v>
      </c>
      <c r="L55" s="23" t="e">
        <f>VLOOKUP(J55,'Opportunity stage'!A$3:D$13,3,0)</f>
        <v>#N/A</v>
      </c>
      <c r="M55" s="24" t="e">
        <f>VLOOKUP(J55,'Opportunity stage'!A$3:D$13,4,0)</f>
        <v>#N/A</v>
      </c>
      <c r="N55" s="27"/>
      <c r="O55" s="30"/>
      <c r="P55" s="28"/>
      <c r="Q55" s="28"/>
      <c r="R55" s="29">
        <f t="shared" si="8"/>
        <v>0</v>
      </c>
      <c r="S55" s="29">
        <f t="shared" si="1"/>
        <v>0</v>
      </c>
      <c r="T55" s="2"/>
      <c r="U55" s="5"/>
      <c r="V55" s="4"/>
    </row>
    <row r="56" spans="1:22" ht="20" customHeight="1" x14ac:dyDescent="0.35">
      <c r="A56" s="5">
        <v>53</v>
      </c>
      <c r="B56" s="2"/>
      <c r="C56" s="21"/>
      <c r="D56" s="5"/>
      <c r="E56" s="2"/>
      <c r="F56" s="2"/>
      <c r="G56" s="2"/>
      <c r="H56" s="5"/>
      <c r="I56" s="5"/>
      <c r="J56" s="5"/>
      <c r="K56" s="23" t="e">
        <f>VLOOKUP(J56,'Opportunity stage'!A$3:D$13,2,0)</f>
        <v>#N/A</v>
      </c>
      <c r="L56" s="23" t="e">
        <f>VLOOKUP(J56,'Opportunity stage'!A$3:D$13,3,0)</f>
        <v>#N/A</v>
      </c>
      <c r="M56" s="24" t="e">
        <f>VLOOKUP(J56,'Opportunity stage'!A$3:D$13,4,0)</f>
        <v>#N/A</v>
      </c>
      <c r="N56" s="27"/>
      <c r="O56" s="30"/>
      <c r="P56" s="28"/>
      <c r="Q56" s="28"/>
      <c r="R56" s="29">
        <f t="shared" si="8"/>
        <v>0</v>
      </c>
      <c r="S56" s="29">
        <f t="shared" si="1"/>
        <v>0</v>
      </c>
      <c r="T56" s="2"/>
      <c r="U56" s="5"/>
      <c r="V56" s="4"/>
    </row>
    <row r="57" spans="1:22" ht="20" customHeight="1" x14ac:dyDescent="0.35">
      <c r="A57" s="5">
        <v>54</v>
      </c>
      <c r="B57" s="2"/>
      <c r="C57" s="21"/>
      <c r="D57" s="5"/>
      <c r="E57" s="2"/>
      <c r="F57" s="2"/>
      <c r="G57" s="2"/>
      <c r="H57" s="5"/>
      <c r="I57" s="5"/>
      <c r="J57" s="5"/>
      <c r="K57" s="23" t="e">
        <f>VLOOKUP(J57,'Opportunity stage'!A$3:D$13,2,0)</f>
        <v>#N/A</v>
      </c>
      <c r="L57" s="23" t="e">
        <f>VLOOKUP(J57,'Opportunity stage'!A$3:D$13,3,0)</f>
        <v>#N/A</v>
      </c>
      <c r="M57" s="24" t="e">
        <f>VLOOKUP(J57,'Opportunity stage'!A$3:D$13,4,0)</f>
        <v>#N/A</v>
      </c>
      <c r="N57" s="27"/>
      <c r="O57" s="30"/>
      <c r="P57" s="28"/>
      <c r="Q57" s="28"/>
      <c r="R57" s="29">
        <f t="shared" si="8"/>
        <v>0</v>
      </c>
      <c r="S57" s="29">
        <f t="shared" si="1"/>
        <v>0</v>
      </c>
      <c r="T57" s="2"/>
      <c r="U57" s="5"/>
      <c r="V57" s="4"/>
    </row>
    <row r="58" spans="1:22" ht="20" customHeight="1" x14ac:dyDescent="0.35">
      <c r="A58" s="5">
        <v>55</v>
      </c>
      <c r="B58" s="2"/>
      <c r="C58" s="21"/>
      <c r="D58" s="5"/>
      <c r="E58" s="2"/>
      <c r="F58" s="2"/>
      <c r="G58" s="2"/>
      <c r="H58" s="5"/>
      <c r="I58" s="5"/>
      <c r="J58" s="5"/>
      <c r="K58" s="23" t="e">
        <f>VLOOKUP(J58,'Opportunity stage'!A$3:D$13,2,0)</f>
        <v>#N/A</v>
      </c>
      <c r="L58" s="23" t="e">
        <f>VLOOKUP(J58,'Opportunity stage'!A$3:D$13,3,0)</f>
        <v>#N/A</v>
      </c>
      <c r="M58" s="24" t="e">
        <f>VLOOKUP(J58,'Opportunity stage'!A$3:D$13,4,0)</f>
        <v>#N/A</v>
      </c>
      <c r="N58" s="27"/>
      <c r="O58" s="30"/>
      <c r="P58" s="28"/>
      <c r="Q58" s="28"/>
      <c r="R58" s="29">
        <f t="shared" si="8"/>
        <v>0</v>
      </c>
      <c r="S58" s="29">
        <f t="shared" si="1"/>
        <v>0</v>
      </c>
      <c r="T58" s="2"/>
      <c r="U58" s="5"/>
      <c r="V58" s="4"/>
    </row>
    <row r="59" spans="1:22" ht="20" customHeight="1" x14ac:dyDescent="0.35">
      <c r="A59" s="5">
        <v>56</v>
      </c>
      <c r="B59" s="2"/>
      <c r="C59" s="21"/>
      <c r="D59" s="5"/>
      <c r="E59" s="2"/>
      <c r="F59" s="2"/>
      <c r="G59" s="2"/>
      <c r="H59" s="5"/>
      <c r="I59" s="5"/>
      <c r="J59" s="5"/>
      <c r="K59" s="23" t="e">
        <f>VLOOKUP(J59,'Opportunity stage'!A$3:D$13,2,0)</f>
        <v>#N/A</v>
      </c>
      <c r="L59" s="23" t="e">
        <f>VLOOKUP(J59,'Opportunity stage'!A$3:D$13,3,0)</f>
        <v>#N/A</v>
      </c>
      <c r="M59" s="24" t="e">
        <f>VLOOKUP(J59,'Opportunity stage'!A$3:D$13,4,0)</f>
        <v>#N/A</v>
      </c>
      <c r="N59" s="27"/>
      <c r="O59" s="30"/>
      <c r="P59" s="28"/>
      <c r="Q59" s="28"/>
      <c r="R59" s="29">
        <f t="shared" si="8"/>
        <v>0</v>
      </c>
      <c r="S59" s="29">
        <f t="shared" si="1"/>
        <v>0</v>
      </c>
      <c r="T59" s="2"/>
      <c r="U59" s="5"/>
      <c r="V59" s="4"/>
    </row>
    <row r="60" spans="1:22" ht="20" customHeight="1" x14ac:dyDescent="0.35">
      <c r="A60" s="5">
        <v>57</v>
      </c>
      <c r="B60" s="2"/>
      <c r="C60" s="21"/>
      <c r="D60" s="5"/>
      <c r="E60" s="2"/>
      <c r="F60" s="2"/>
      <c r="G60" s="2"/>
      <c r="H60" s="5"/>
      <c r="I60" s="5"/>
      <c r="J60" s="5"/>
      <c r="K60" s="23" t="e">
        <f>VLOOKUP(J60,'Opportunity stage'!A$3:D$13,2,0)</f>
        <v>#N/A</v>
      </c>
      <c r="L60" s="23" t="e">
        <f>VLOOKUP(J60,'Opportunity stage'!A$3:D$13,3,0)</f>
        <v>#N/A</v>
      </c>
      <c r="M60" s="24" t="e">
        <f>VLOOKUP(J60,'Opportunity stage'!A$3:D$13,4,0)</f>
        <v>#N/A</v>
      </c>
      <c r="N60" s="27"/>
      <c r="O60" s="30"/>
      <c r="P60" s="28"/>
      <c r="Q60" s="28"/>
      <c r="R60" s="29">
        <f t="shared" si="8"/>
        <v>0</v>
      </c>
      <c r="S60" s="29">
        <f t="shared" si="1"/>
        <v>0</v>
      </c>
      <c r="T60" s="2"/>
      <c r="U60" s="5"/>
      <c r="V60" s="4"/>
    </row>
    <row r="61" spans="1:22" ht="20" customHeight="1" x14ac:dyDescent="0.35">
      <c r="A61" s="5">
        <v>58</v>
      </c>
      <c r="B61" s="2"/>
      <c r="C61" s="21"/>
      <c r="D61" s="5"/>
      <c r="E61" s="2"/>
      <c r="F61" s="2"/>
      <c r="G61" s="2"/>
      <c r="H61" s="5"/>
      <c r="I61" s="5"/>
      <c r="J61" s="5"/>
      <c r="K61" s="23" t="e">
        <f>VLOOKUP(J61,'Opportunity stage'!A$3:D$13,2,0)</f>
        <v>#N/A</v>
      </c>
      <c r="L61" s="23" t="e">
        <f>VLOOKUP(J61,'Opportunity stage'!A$3:D$13,3,0)</f>
        <v>#N/A</v>
      </c>
      <c r="M61" s="24" t="e">
        <f>VLOOKUP(J61,'Opportunity stage'!A$3:D$13,4,0)</f>
        <v>#N/A</v>
      </c>
      <c r="N61" s="27"/>
      <c r="O61" s="30"/>
      <c r="P61" s="28"/>
      <c r="Q61" s="28"/>
      <c r="R61" s="29">
        <f t="shared" si="8"/>
        <v>0</v>
      </c>
      <c r="S61" s="29">
        <f t="shared" si="1"/>
        <v>0</v>
      </c>
      <c r="T61" s="2"/>
      <c r="U61" s="5"/>
      <c r="V61" s="4"/>
    </row>
    <row r="62" spans="1:22" ht="20" customHeight="1" x14ac:dyDescent="0.35">
      <c r="A62" s="5">
        <v>59</v>
      </c>
      <c r="B62" s="2"/>
      <c r="C62" s="21"/>
      <c r="D62" s="5"/>
      <c r="E62" s="2"/>
      <c r="F62" s="2"/>
      <c r="G62" s="2"/>
      <c r="H62" s="5"/>
      <c r="I62" s="5"/>
      <c r="J62" s="5"/>
      <c r="K62" s="23" t="e">
        <f>VLOOKUP(J62,'Opportunity stage'!A$3:D$13,2,0)</f>
        <v>#N/A</v>
      </c>
      <c r="L62" s="23" t="e">
        <f>VLOOKUP(J62,'Opportunity stage'!A$3:D$13,3,0)</f>
        <v>#N/A</v>
      </c>
      <c r="M62" s="24" t="e">
        <f>VLOOKUP(J62,'Opportunity stage'!A$3:D$13,4,0)</f>
        <v>#N/A</v>
      </c>
      <c r="N62" s="27"/>
      <c r="O62" s="30"/>
      <c r="P62" s="28"/>
      <c r="Q62" s="28"/>
      <c r="R62" s="29">
        <f t="shared" si="8"/>
        <v>0</v>
      </c>
      <c r="S62" s="29">
        <f t="shared" si="1"/>
        <v>0</v>
      </c>
      <c r="T62" s="2"/>
      <c r="U62" s="5"/>
      <c r="V62" s="4"/>
    </row>
    <row r="63" spans="1:22" ht="20" customHeight="1" x14ac:dyDescent="0.35">
      <c r="A63" s="5">
        <v>60</v>
      </c>
      <c r="B63" s="2"/>
      <c r="C63" s="21"/>
      <c r="D63" s="5"/>
      <c r="E63" s="2"/>
      <c r="F63" s="2"/>
      <c r="G63" s="2"/>
      <c r="H63" s="5"/>
      <c r="I63" s="5"/>
      <c r="J63" s="5"/>
      <c r="K63" s="23" t="e">
        <f>VLOOKUP(J63,'Opportunity stage'!A$3:D$13,2,0)</f>
        <v>#N/A</v>
      </c>
      <c r="L63" s="23" t="e">
        <f>VLOOKUP(J63,'Opportunity stage'!A$3:D$13,3,0)</f>
        <v>#N/A</v>
      </c>
      <c r="M63" s="24" t="e">
        <f>VLOOKUP(J63,'Opportunity stage'!A$3:D$13,4,0)</f>
        <v>#N/A</v>
      </c>
      <c r="N63" s="27"/>
      <c r="O63" s="30"/>
      <c r="P63" s="28"/>
      <c r="Q63" s="28"/>
      <c r="R63" s="29">
        <f t="shared" si="8"/>
        <v>0</v>
      </c>
      <c r="S63" s="29">
        <f t="shared" si="1"/>
        <v>0</v>
      </c>
      <c r="T63" s="2"/>
      <c r="U63" s="5"/>
      <c r="V63" s="4"/>
    </row>
    <row r="64" spans="1:22" ht="20" customHeight="1" x14ac:dyDescent="0.35">
      <c r="A64" s="5">
        <v>61</v>
      </c>
      <c r="B64" s="2"/>
      <c r="C64" s="21"/>
      <c r="D64" s="5"/>
      <c r="E64" s="2"/>
      <c r="F64" s="2"/>
      <c r="G64" s="2"/>
      <c r="H64" s="5"/>
      <c r="I64" s="5"/>
      <c r="J64" s="5"/>
      <c r="K64" s="23" t="e">
        <f>VLOOKUP(J64,'Opportunity stage'!A$3:D$13,2,0)</f>
        <v>#N/A</v>
      </c>
      <c r="L64" s="23" t="e">
        <f>VLOOKUP(J64,'Opportunity stage'!A$3:D$13,3,0)</f>
        <v>#N/A</v>
      </c>
      <c r="M64" s="24" t="e">
        <f>VLOOKUP(J64,'Opportunity stage'!A$3:D$13,4,0)</f>
        <v>#N/A</v>
      </c>
      <c r="N64" s="27"/>
      <c r="O64" s="30"/>
      <c r="P64" s="28"/>
      <c r="Q64" s="28"/>
      <c r="R64" s="29">
        <f t="shared" si="8"/>
        <v>0</v>
      </c>
      <c r="S64" s="29">
        <f t="shared" si="1"/>
        <v>0</v>
      </c>
      <c r="T64" s="2"/>
      <c r="U64" s="5"/>
      <c r="V64" s="4"/>
    </row>
    <row r="65" spans="1:22" ht="20" customHeight="1" x14ac:dyDescent="0.35">
      <c r="A65" s="5">
        <v>62</v>
      </c>
      <c r="B65" s="2"/>
      <c r="C65" s="21"/>
      <c r="D65" s="5"/>
      <c r="E65" s="2"/>
      <c r="F65" s="2"/>
      <c r="G65" s="2"/>
      <c r="H65" s="5"/>
      <c r="I65" s="5"/>
      <c r="J65" s="5"/>
      <c r="K65" s="23" t="e">
        <f>VLOOKUP(J65,'Opportunity stage'!A$3:D$13,2,0)</f>
        <v>#N/A</v>
      </c>
      <c r="L65" s="23" t="e">
        <f>VLOOKUP(J65,'Opportunity stage'!A$3:D$13,3,0)</f>
        <v>#N/A</v>
      </c>
      <c r="M65" s="24" t="e">
        <f>VLOOKUP(J65,'Opportunity stage'!A$3:D$13,4,0)</f>
        <v>#N/A</v>
      </c>
      <c r="N65" s="27"/>
      <c r="O65" s="30"/>
      <c r="P65" s="28"/>
      <c r="Q65" s="28"/>
      <c r="R65" s="29">
        <f t="shared" si="8"/>
        <v>0</v>
      </c>
      <c r="S65" s="29">
        <f t="shared" si="1"/>
        <v>0</v>
      </c>
      <c r="T65" s="2"/>
      <c r="U65" s="5"/>
      <c r="V65" s="4"/>
    </row>
    <row r="66" spans="1:22" ht="20" customHeight="1" x14ac:dyDescent="0.35">
      <c r="A66" s="5">
        <v>63</v>
      </c>
      <c r="B66" s="2"/>
      <c r="C66" s="21"/>
      <c r="D66" s="5"/>
      <c r="E66" s="2"/>
      <c r="F66" s="2"/>
      <c r="G66" s="2"/>
      <c r="H66" s="5"/>
      <c r="I66" s="5"/>
      <c r="J66" s="5"/>
      <c r="K66" s="23" t="e">
        <f>VLOOKUP(J66,'Opportunity stage'!A$3:D$13,2,0)</f>
        <v>#N/A</v>
      </c>
      <c r="L66" s="23" t="e">
        <f>VLOOKUP(J66,'Opportunity stage'!A$3:D$13,3,0)</f>
        <v>#N/A</v>
      </c>
      <c r="M66" s="24" t="e">
        <f>VLOOKUP(J66,'Opportunity stage'!A$3:D$13,4,0)</f>
        <v>#N/A</v>
      </c>
      <c r="N66" s="27"/>
      <c r="O66" s="30"/>
      <c r="P66" s="28"/>
      <c r="Q66" s="28"/>
      <c r="R66" s="29">
        <f t="shared" si="8"/>
        <v>0</v>
      </c>
      <c r="S66" s="29">
        <f t="shared" si="1"/>
        <v>0</v>
      </c>
      <c r="T66" s="2"/>
      <c r="U66" s="5"/>
      <c r="V66" s="4"/>
    </row>
    <row r="67" spans="1:22" ht="20" customHeight="1" x14ac:dyDescent="0.35">
      <c r="A67" s="5">
        <v>64</v>
      </c>
      <c r="B67" s="2"/>
      <c r="C67" s="21"/>
      <c r="D67" s="5"/>
      <c r="E67" s="2"/>
      <c r="F67" s="2"/>
      <c r="G67" s="2"/>
      <c r="H67" s="5"/>
      <c r="I67" s="5"/>
      <c r="J67" s="5"/>
      <c r="K67" s="23" t="e">
        <f>VLOOKUP(J67,'Opportunity stage'!A$3:D$13,2,0)</f>
        <v>#N/A</v>
      </c>
      <c r="L67" s="23" t="e">
        <f>VLOOKUP(J67,'Opportunity stage'!A$3:D$13,3,0)</f>
        <v>#N/A</v>
      </c>
      <c r="M67" s="24" t="e">
        <f>VLOOKUP(J67,'Opportunity stage'!A$3:D$13,4,0)</f>
        <v>#N/A</v>
      </c>
      <c r="N67" s="27"/>
      <c r="O67" s="30"/>
      <c r="P67" s="28"/>
      <c r="Q67" s="28"/>
      <c r="R67" s="29">
        <f t="shared" ref="R67:R103" si="9">Q67/$R$2</f>
        <v>0</v>
      </c>
      <c r="S67" s="29">
        <f t="shared" ref="S67:S103" si="10">(P67*R67)/1000000</f>
        <v>0</v>
      </c>
      <c r="T67" s="2"/>
      <c r="U67" s="5"/>
      <c r="V67" s="4"/>
    </row>
    <row r="68" spans="1:22" ht="20" customHeight="1" x14ac:dyDescent="0.35">
      <c r="A68" s="5">
        <v>65</v>
      </c>
      <c r="B68" s="2"/>
      <c r="C68" s="21"/>
      <c r="D68" s="5"/>
      <c r="E68" s="2"/>
      <c r="F68" s="2"/>
      <c r="G68" s="2"/>
      <c r="H68" s="5"/>
      <c r="I68" s="5"/>
      <c r="J68" s="5"/>
      <c r="K68" s="23" t="e">
        <f>VLOOKUP(J68,'Opportunity stage'!A$3:D$13,2,0)</f>
        <v>#N/A</v>
      </c>
      <c r="L68" s="23" t="e">
        <f>VLOOKUP(J68,'Opportunity stage'!A$3:D$13,3,0)</f>
        <v>#N/A</v>
      </c>
      <c r="M68" s="24" t="e">
        <f>VLOOKUP(J68,'Opportunity stage'!A$3:D$13,4,0)</f>
        <v>#N/A</v>
      </c>
      <c r="N68" s="27"/>
      <c r="O68" s="30"/>
      <c r="P68" s="28"/>
      <c r="Q68" s="28"/>
      <c r="R68" s="29">
        <f t="shared" si="9"/>
        <v>0</v>
      </c>
      <c r="S68" s="29">
        <f t="shared" si="10"/>
        <v>0</v>
      </c>
      <c r="T68" s="2"/>
      <c r="U68" s="5"/>
      <c r="V68" s="4"/>
    </row>
    <row r="69" spans="1:22" ht="20" customHeight="1" x14ac:dyDescent="0.35">
      <c r="A69" s="5">
        <v>66</v>
      </c>
      <c r="B69" s="2"/>
      <c r="C69" s="21"/>
      <c r="D69" s="5"/>
      <c r="E69" s="2"/>
      <c r="F69" s="2"/>
      <c r="G69" s="2"/>
      <c r="H69" s="5"/>
      <c r="I69" s="5"/>
      <c r="J69" s="5"/>
      <c r="K69" s="23" t="e">
        <f>VLOOKUP(J69,'Opportunity stage'!A$3:D$13,2,0)</f>
        <v>#N/A</v>
      </c>
      <c r="L69" s="23" t="e">
        <f>VLOOKUP(J69,'Opportunity stage'!A$3:D$13,3,0)</f>
        <v>#N/A</v>
      </c>
      <c r="M69" s="24" t="e">
        <f>VLOOKUP(J69,'Opportunity stage'!A$3:D$13,4,0)</f>
        <v>#N/A</v>
      </c>
      <c r="N69" s="27"/>
      <c r="O69" s="30"/>
      <c r="P69" s="28"/>
      <c r="Q69" s="28"/>
      <c r="R69" s="29">
        <f t="shared" si="9"/>
        <v>0</v>
      </c>
      <c r="S69" s="29">
        <f t="shared" si="10"/>
        <v>0</v>
      </c>
      <c r="T69" s="2"/>
      <c r="U69" s="5"/>
      <c r="V69" s="4"/>
    </row>
    <row r="70" spans="1:22" ht="20" customHeight="1" x14ac:dyDescent="0.35">
      <c r="A70" s="5">
        <v>67</v>
      </c>
      <c r="B70" s="2"/>
      <c r="C70" s="21"/>
      <c r="D70" s="5"/>
      <c r="E70" s="2"/>
      <c r="F70" s="2"/>
      <c r="G70" s="2"/>
      <c r="H70" s="5"/>
      <c r="I70" s="5"/>
      <c r="J70" s="5"/>
      <c r="K70" s="23" t="e">
        <f>VLOOKUP(J70,'Opportunity stage'!A$3:D$13,2,0)</f>
        <v>#N/A</v>
      </c>
      <c r="L70" s="23" t="e">
        <f>VLOOKUP(J70,'Opportunity stage'!A$3:D$13,3,0)</f>
        <v>#N/A</v>
      </c>
      <c r="M70" s="24" t="e">
        <f>VLOOKUP(J70,'Opportunity stage'!A$3:D$13,4,0)</f>
        <v>#N/A</v>
      </c>
      <c r="N70" s="27"/>
      <c r="O70" s="30"/>
      <c r="P70" s="28"/>
      <c r="Q70" s="28"/>
      <c r="R70" s="29">
        <f t="shared" si="9"/>
        <v>0</v>
      </c>
      <c r="S70" s="29">
        <f t="shared" si="10"/>
        <v>0</v>
      </c>
      <c r="T70" s="2"/>
      <c r="U70" s="5"/>
      <c r="V70" s="4"/>
    </row>
    <row r="71" spans="1:22" ht="20" customHeight="1" x14ac:dyDescent="0.35">
      <c r="A71" s="5">
        <v>68</v>
      </c>
      <c r="B71" s="2"/>
      <c r="C71" s="21"/>
      <c r="D71" s="5"/>
      <c r="E71" s="2"/>
      <c r="F71" s="2"/>
      <c r="G71" s="2"/>
      <c r="H71" s="5"/>
      <c r="I71" s="5"/>
      <c r="J71" s="5"/>
      <c r="K71" s="23" t="e">
        <f>VLOOKUP(J71,'Opportunity stage'!A$3:D$13,2,0)</f>
        <v>#N/A</v>
      </c>
      <c r="L71" s="23" t="e">
        <f>VLOOKUP(J71,'Opportunity stage'!A$3:D$13,3,0)</f>
        <v>#N/A</v>
      </c>
      <c r="M71" s="24" t="e">
        <f>VLOOKUP(J71,'Opportunity stage'!A$3:D$13,4,0)</f>
        <v>#N/A</v>
      </c>
      <c r="N71" s="27"/>
      <c r="O71" s="30"/>
      <c r="P71" s="28"/>
      <c r="Q71" s="28"/>
      <c r="R71" s="29">
        <f t="shared" si="9"/>
        <v>0</v>
      </c>
      <c r="S71" s="29">
        <f t="shared" si="10"/>
        <v>0</v>
      </c>
      <c r="T71" s="2"/>
      <c r="U71" s="5"/>
      <c r="V71" s="4"/>
    </row>
    <row r="72" spans="1:22" ht="20" customHeight="1" x14ac:dyDescent="0.35">
      <c r="A72" s="5">
        <v>69</v>
      </c>
      <c r="B72" s="2"/>
      <c r="C72" s="21"/>
      <c r="D72" s="5"/>
      <c r="E72" s="2"/>
      <c r="F72" s="2"/>
      <c r="G72" s="2"/>
      <c r="H72" s="5"/>
      <c r="I72" s="5"/>
      <c r="J72" s="5"/>
      <c r="K72" s="23" t="e">
        <f>VLOOKUP(J72,'Opportunity stage'!A$3:D$13,2,0)</f>
        <v>#N/A</v>
      </c>
      <c r="L72" s="23" t="e">
        <f>VLOOKUP(J72,'Opportunity stage'!A$3:D$13,3,0)</f>
        <v>#N/A</v>
      </c>
      <c r="M72" s="24" t="e">
        <f>VLOOKUP(J72,'Opportunity stage'!A$3:D$13,4,0)</f>
        <v>#N/A</v>
      </c>
      <c r="N72" s="27"/>
      <c r="O72" s="30"/>
      <c r="P72" s="28"/>
      <c r="Q72" s="28"/>
      <c r="R72" s="29">
        <f t="shared" si="9"/>
        <v>0</v>
      </c>
      <c r="S72" s="29">
        <f t="shared" si="10"/>
        <v>0</v>
      </c>
      <c r="T72" s="2"/>
      <c r="U72" s="5"/>
      <c r="V72" s="4"/>
    </row>
    <row r="73" spans="1:22" ht="20" customHeight="1" x14ac:dyDescent="0.35">
      <c r="A73" s="5">
        <v>70</v>
      </c>
      <c r="B73" s="2"/>
      <c r="C73" s="21"/>
      <c r="D73" s="5"/>
      <c r="E73" s="2"/>
      <c r="F73" s="2"/>
      <c r="G73" s="2"/>
      <c r="H73" s="5"/>
      <c r="I73" s="5"/>
      <c r="J73" s="5"/>
      <c r="K73" s="23" t="e">
        <f>VLOOKUP(J73,'Opportunity stage'!A$3:D$13,2,0)</f>
        <v>#N/A</v>
      </c>
      <c r="L73" s="23" t="e">
        <f>VLOOKUP(J73,'Opportunity stage'!A$3:D$13,3,0)</f>
        <v>#N/A</v>
      </c>
      <c r="M73" s="24" t="e">
        <f>VLOOKUP(J73,'Opportunity stage'!A$3:D$13,4,0)</f>
        <v>#N/A</v>
      </c>
      <c r="N73" s="27"/>
      <c r="O73" s="30"/>
      <c r="P73" s="28"/>
      <c r="Q73" s="28"/>
      <c r="R73" s="29">
        <f t="shared" si="9"/>
        <v>0</v>
      </c>
      <c r="S73" s="29">
        <f t="shared" si="10"/>
        <v>0</v>
      </c>
      <c r="T73" s="2"/>
      <c r="U73" s="5"/>
      <c r="V73" s="4"/>
    </row>
    <row r="74" spans="1:22" ht="20" customHeight="1" x14ac:dyDescent="0.35">
      <c r="A74" s="5">
        <v>71</v>
      </c>
      <c r="B74" s="2"/>
      <c r="C74" s="21"/>
      <c r="D74" s="5"/>
      <c r="E74" s="2"/>
      <c r="F74" s="2"/>
      <c r="G74" s="2"/>
      <c r="H74" s="5"/>
      <c r="I74" s="5"/>
      <c r="J74" s="5"/>
      <c r="K74" s="23" t="e">
        <f>VLOOKUP(J74,'Opportunity stage'!A$3:D$13,2,0)</f>
        <v>#N/A</v>
      </c>
      <c r="L74" s="23" t="e">
        <f>VLOOKUP(J74,'Opportunity stage'!A$3:D$13,3,0)</f>
        <v>#N/A</v>
      </c>
      <c r="M74" s="24" t="e">
        <f>VLOOKUP(J74,'Opportunity stage'!A$3:D$13,4,0)</f>
        <v>#N/A</v>
      </c>
      <c r="N74" s="27"/>
      <c r="O74" s="30"/>
      <c r="P74" s="28"/>
      <c r="Q74" s="28"/>
      <c r="R74" s="29">
        <f t="shared" si="9"/>
        <v>0</v>
      </c>
      <c r="S74" s="29">
        <f t="shared" si="10"/>
        <v>0</v>
      </c>
      <c r="T74" s="2"/>
      <c r="U74" s="5"/>
      <c r="V74" s="4"/>
    </row>
    <row r="75" spans="1:22" ht="20" customHeight="1" x14ac:dyDescent="0.35">
      <c r="A75" s="5">
        <v>72</v>
      </c>
      <c r="B75" s="2"/>
      <c r="C75" s="21"/>
      <c r="D75" s="5"/>
      <c r="E75" s="2"/>
      <c r="F75" s="2"/>
      <c r="G75" s="2"/>
      <c r="H75" s="5"/>
      <c r="I75" s="5"/>
      <c r="J75" s="5"/>
      <c r="K75" s="23" t="e">
        <f>VLOOKUP(J75,'Opportunity stage'!A$3:D$13,2,0)</f>
        <v>#N/A</v>
      </c>
      <c r="L75" s="23" t="e">
        <f>VLOOKUP(J75,'Opportunity stage'!A$3:D$13,3,0)</f>
        <v>#N/A</v>
      </c>
      <c r="M75" s="24" t="e">
        <f>VLOOKUP(J75,'Opportunity stage'!A$3:D$13,4,0)</f>
        <v>#N/A</v>
      </c>
      <c r="N75" s="27"/>
      <c r="O75" s="30"/>
      <c r="P75" s="28"/>
      <c r="Q75" s="28"/>
      <c r="R75" s="29">
        <f t="shared" si="9"/>
        <v>0</v>
      </c>
      <c r="S75" s="29">
        <f t="shared" si="10"/>
        <v>0</v>
      </c>
      <c r="T75" s="2"/>
      <c r="U75" s="5"/>
      <c r="V75" s="4"/>
    </row>
    <row r="76" spans="1:22" ht="20" customHeight="1" x14ac:dyDescent="0.35">
      <c r="A76" s="5">
        <v>73</v>
      </c>
      <c r="B76" s="2"/>
      <c r="C76" s="21"/>
      <c r="D76" s="5"/>
      <c r="E76" s="2"/>
      <c r="F76" s="2"/>
      <c r="G76" s="2"/>
      <c r="H76" s="5"/>
      <c r="I76" s="5"/>
      <c r="J76" s="5"/>
      <c r="K76" s="23" t="e">
        <f>VLOOKUP(J76,'Opportunity stage'!A$3:D$13,2,0)</f>
        <v>#N/A</v>
      </c>
      <c r="L76" s="23" t="e">
        <f>VLOOKUP(J76,'Opportunity stage'!A$3:D$13,3,0)</f>
        <v>#N/A</v>
      </c>
      <c r="M76" s="24" t="e">
        <f>VLOOKUP(J76,'Opportunity stage'!A$3:D$13,4,0)</f>
        <v>#N/A</v>
      </c>
      <c r="N76" s="27"/>
      <c r="O76" s="30"/>
      <c r="P76" s="28"/>
      <c r="Q76" s="28"/>
      <c r="R76" s="29">
        <f t="shared" si="9"/>
        <v>0</v>
      </c>
      <c r="S76" s="29">
        <f t="shared" si="10"/>
        <v>0</v>
      </c>
      <c r="T76" s="2"/>
      <c r="U76" s="5"/>
      <c r="V76" s="4"/>
    </row>
    <row r="77" spans="1:22" ht="20" customHeight="1" x14ac:dyDescent="0.35">
      <c r="A77" s="5">
        <v>74</v>
      </c>
      <c r="B77" s="2"/>
      <c r="C77" s="21"/>
      <c r="D77" s="5"/>
      <c r="E77" s="2"/>
      <c r="F77" s="2"/>
      <c r="G77" s="2"/>
      <c r="H77" s="5"/>
      <c r="I77" s="5"/>
      <c r="J77" s="5"/>
      <c r="K77" s="23" t="e">
        <f>VLOOKUP(J77,'Opportunity stage'!A$3:D$13,2,0)</f>
        <v>#N/A</v>
      </c>
      <c r="L77" s="23" t="e">
        <f>VLOOKUP(J77,'Opportunity stage'!A$3:D$13,3,0)</f>
        <v>#N/A</v>
      </c>
      <c r="M77" s="24" t="e">
        <f>VLOOKUP(J77,'Opportunity stage'!A$3:D$13,4,0)</f>
        <v>#N/A</v>
      </c>
      <c r="N77" s="27"/>
      <c r="O77" s="30"/>
      <c r="P77" s="28"/>
      <c r="Q77" s="28"/>
      <c r="R77" s="29">
        <f t="shared" si="9"/>
        <v>0</v>
      </c>
      <c r="S77" s="29">
        <f t="shared" si="10"/>
        <v>0</v>
      </c>
      <c r="T77" s="2"/>
      <c r="U77" s="5"/>
      <c r="V77" s="4"/>
    </row>
    <row r="78" spans="1:22" ht="20" customHeight="1" x14ac:dyDescent="0.35">
      <c r="A78" s="5">
        <v>75</v>
      </c>
      <c r="B78" s="2"/>
      <c r="C78" s="21"/>
      <c r="D78" s="5"/>
      <c r="E78" s="2"/>
      <c r="F78" s="2"/>
      <c r="G78" s="2"/>
      <c r="H78" s="5"/>
      <c r="I78" s="5"/>
      <c r="J78" s="5"/>
      <c r="K78" s="23" t="e">
        <f>VLOOKUP(J78,'Opportunity stage'!A$3:D$13,2,0)</f>
        <v>#N/A</v>
      </c>
      <c r="L78" s="23" t="e">
        <f>VLOOKUP(J78,'Opportunity stage'!A$3:D$13,3,0)</f>
        <v>#N/A</v>
      </c>
      <c r="M78" s="24" t="e">
        <f>VLOOKUP(J78,'Opportunity stage'!A$3:D$13,4,0)</f>
        <v>#N/A</v>
      </c>
      <c r="N78" s="27"/>
      <c r="O78" s="30"/>
      <c r="P78" s="28"/>
      <c r="Q78" s="28"/>
      <c r="R78" s="29">
        <f t="shared" si="9"/>
        <v>0</v>
      </c>
      <c r="S78" s="29">
        <f t="shared" si="10"/>
        <v>0</v>
      </c>
      <c r="T78" s="2"/>
      <c r="U78" s="5"/>
      <c r="V78" s="4"/>
    </row>
    <row r="79" spans="1:22" ht="20" customHeight="1" x14ac:dyDescent="0.35">
      <c r="A79" s="5">
        <v>76</v>
      </c>
      <c r="B79" s="2"/>
      <c r="C79" s="21"/>
      <c r="D79" s="5"/>
      <c r="E79" s="2"/>
      <c r="F79" s="2"/>
      <c r="G79" s="2"/>
      <c r="H79" s="5"/>
      <c r="I79" s="5"/>
      <c r="J79" s="5"/>
      <c r="K79" s="23" t="e">
        <f>VLOOKUP(J79,'Opportunity stage'!A$3:D$13,2,0)</f>
        <v>#N/A</v>
      </c>
      <c r="L79" s="23" t="e">
        <f>VLOOKUP(J79,'Opportunity stage'!A$3:D$13,3,0)</f>
        <v>#N/A</v>
      </c>
      <c r="M79" s="24" t="e">
        <f>VLOOKUP(J79,'Opportunity stage'!A$3:D$13,4,0)</f>
        <v>#N/A</v>
      </c>
      <c r="N79" s="27"/>
      <c r="O79" s="30"/>
      <c r="P79" s="28"/>
      <c r="Q79" s="28"/>
      <c r="R79" s="29">
        <f t="shared" si="9"/>
        <v>0</v>
      </c>
      <c r="S79" s="29">
        <f t="shared" si="10"/>
        <v>0</v>
      </c>
      <c r="T79" s="2"/>
      <c r="U79" s="5"/>
      <c r="V79" s="4"/>
    </row>
    <row r="80" spans="1:22" ht="20" customHeight="1" x14ac:dyDescent="0.35">
      <c r="A80" s="5">
        <v>77</v>
      </c>
      <c r="B80" s="2"/>
      <c r="C80" s="21"/>
      <c r="D80" s="5"/>
      <c r="E80" s="2"/>
      <c r="F80" s="2"/>
      <c r="G80" s="2"/>
      <c r="H80" s="5"/>
      <c r="I80" s="5"/>
      <c r="J80" s="5"/>
      <c r="K80" s="23" t="e">
        <f>VLOOKUP(J80,'Opportunity stage'!A$3:D$13,2,0)</f>
        <v>#N/A</v>
      </c>
      <c r="L80" s="23" t="e">
        <f>VLOOKUP(J80,'Opportunity stage'!A$3:D$13,3,0)</f>
        <v>#N/A</v>
      </c>
      <c r="M80" s="24" t="e">
        <f>VLOOKUP(J80,'Opportunity stage'!A$3:D$13,4,0)</f>
        <v>#N/A</v>
      </c>
      <c r="N80" s="27"/>
      <c r="O80" s="30"/>
      <c r="P80" s="28"/>
      <c r="Q80" s="28"/>
      <c r="R80" s="29">
        <f t="shared" si="9"/>
        <v>0</v>
      </c>
      <c r="S80" s="29">
        <f t="shared" si="10"/>
        <v>0</v>
      </c>
      <c r="T80" s="2"/>
      <c r="U80" s="5"/>
      <c r="V80" s="4"/>
    </row>
    <row r="81" spans="1:22" ht="20" customHeight="1" x14ac:dyDescent="0.35">
      <c r="A81" s="5">
        <v>78</v>
      </c>
      <c r="B81" s="2"/>
      <c r="C81" s="21"/>
      <c r="D81" s="5"/>
      <c r="E81" s="2"/>
      <c r="F81" s="2"/>
      <c r="G81" s="2"/>
      <c r="H81" s="5"/>
      <c r="I81" s="5"/>
      <c r="J81" s="5"/>
      <c r="K81" s="23" t="e">
        <f>VLOOKUP(J81,'Opportunity stage'!A$3:D$13,2,0)</f>
        <v>#N/A</v>
      </c>
      <c r="L81" s="23" t="e">
        <f>VLOOKUP(J81,'Opportunity stage'!A$3:D$13,3,0)</f>
        <v>#N/A</v>
      </c>
      <c r="M81" s="24" t="e">
        <f>VLOOKUP(J81,'Opportunity stage'!A$3:D$13,4,0)</f>
        <v>#N/A</v>
      </c>
      <c r="N81" s="27"/>
      <c r="O81" s="30"/>
      <c r="P81" s="28"/>
      <c r="Q81" s="28"/>
      <c r="R81" s="29">
        <f t="shared" si="9"/>
        <v>0</v>
      </c>
      <c r="S81" s="29">
        <f t="shared" si="10"/>
        <v>0</v>
      </c>
      <c r="T81" s="2"/>
      <c r="U81" s="5"/>
      <c r="V81" s="4"/>
    </row>
    <row r="82" spans="1:22" ht="20" customHeight="1" x14ac:dyDescent="0.35">
      <c r="A82" s="5">
        <v>79</v>
      </c>
      <c r="B82" s="2"/>
      <c r="C82" s="21"/>
      <c r="D82" s="5"/>
      <c r="E82" s="2"/>
      <c r="F82" s="2"/>
      <c r="G82" s="2"/>
      <c r="H82" s="5"/>
      <c r="I82" s="5"/>
      <c r="J82" s="5"/>
      <c r="K82" s="23" t="e">
        <f>VLOOKUP(J82,'Opportunity stage'!A$3:D$13,2,0)</f>
        <v>#N/A</v>
      </c>
      <c r="L82" s="23" t="e">
        <f>VLOOKUP(J82,'Opportunity stage'!A$3:D$13,3,0)</f>
        <v>#N/A</v>
      </c>
      <c r="M82" s="24" t="e">
        <f>VLOOKUP(J82,'Opportunity stage'!A$3:D$13,4,0)</f>
        <v>#N/A</v>
      </c>
      <c r="N82" s="27"/>
      <c r="O82" s="30"/>
      <c r="P82" s="28"/>
      <c r="Q82" s="28"/>
      <c r="R82" s="29">
        <f t="shared" si="9"/>
        <v>0</v>
      </c>
      <c r="S82" s="29">
        <f t="shared" si="10"/>
        <v>0</v>
      </c>
      <c r="T82" s="2"/>
      <c r="U82" s="5"/>
      <c r="V82" s="4"/>
    </row>
    <row r="83" spans="1:22" ht="20" customHeight="1" x14ac:dyDescent="0.35">
      <c r="A83" s="5">
        <v>80</v>
      </c>
      <c r="B83" s="2"/>
      <c r="C83" s="21"/>
      <c r="D83" s="5"/>
      <c r="E83" s="2"/>
      <c r="F83" s="2"/>
      <c r="G83" s="2"/>
      <c r="H83" s="5"/>
      <c r="I83" s="5"/>
      <c r="J83" s="5"/>
      <c r="K83" s="23" t="e">
        <f>VLOOKUP(J83,'Opportunity stage'!A$3:D$13,2,0)</f>
        <v>#N/A</v>
      </c>
      <c r="L83" s="23" t="e">
        <f>VLOOKUP(J83,'Opportunity stage'!A$3:D$13,3,0)</f>
        <v>#N/A</v>
      </c>
      <c r="M83" s="24" t="e">
        <f>VLOOKUP(J83,'Opportunity stage'!A$3:D$13,4,0)</f>
        <v>#N/A</v>
      </c>
      <c r="N83" s="27"/>
      <c r="O83" s="30"/>
      <c r="P83" s="28"/>
      <c r="Q83" s="28"/>
      <c r="R83" s="29">
        <f t="shared" si="9"/>
        <v>0</v>
      </c>
      <c r="S83" s="29">
        <f t="shared" si="10"/>
        <v>0</v>
      </c>
      <c r="T83" s="2"/>
      <c r="U83" s="5"/>
      <c r="V83" s="4"/>
    </row>
    <row r="84" spans="1:22" ht="20" customHeight="1" x14ac:dyDescent="0.35">
      <c r="A84" s="5">
        <v>81</v>
      </c>
      <c r="B84" s="2"/>
      <c r="C84" s="21"/>
      <c r="D84" s="5"/>
      <c r="E84" s="2"/>
      <c r="F84" s="2"/>
      <c r="G84" s="2"/>
      <c r="H84" s="5"/>
      <c r="I84" s="5"/>
      <c r="J84" s="5"/>
      <c r="K84" s="23" t="e">
        <f>VLOOKUP(J84,'Opportunity stage'!A$3:D$13,2,0)</f>
        <v>#N/A</v>
      </c>
      <c r="L84" s="23" t="e">
        <f>VLOOKUP(J84,'Opportunity stage'!A$3:D$13,3,0)</f>
        <v>#N/A</v>
      </c>
      <c r="M84" s="24" t="e">
        <f>VLOOKUP(J84,'Opportunity stage'!A$3:D$13,4,0)</f>
        <v>#N/A</v>
      </c>
      <c r="N84" s="27"/>
      <c r="O84" s="30"/>
      <c r="P84" s="28"/>
      <c r="Q84" s="28"/>
      <c r="R84" s="29">
        <f t="shared" si="9"/>
        <v>0</v>
      </c>
      <c r="S84" s="29">
        <f t="shared" si="10"/>
        <v>0</v>
      </c>
      <c r="T84" s="2"/>
      <c r="U84" s="5"/>
      <c r="V84" s="4"/>
    </row>
    <row r="85" spans="1:22" ht="20" customHeight="1" x14ac:dyDescent="0.35">
      <c r="A85" s="5">
        <v>82</v>
      </c>
      <c r="B85" s="2"/>
      <c r="C85" s="21"/>
      <c r="D85" s="5"/>
      <c r="E85" s="2"/>
      <c r="F85" s="2"/>
      <c r="G85" s="2"/>
      <c r="H85" s="5"/>
      <c r="I85" s="5"/>
      <c r="J85" s="5"/>
      <c r="K85" s="23" t="e">
        <f>VLOOKUP(J85,'Opportunity stage'!A$3:D$13,2,0)</f>
        <v>#N/A</v>
      </c>
      <c r="L85" s="23" t="e">
        <f>VLOOKUP(J85,'Opportunity stage'!A$3:D$13,3,0)</f>
        <v>#N/A</v>
      </c>
      <c r="M85" s="24" t="e">
        <f>VLOOKUP(J85,'Opportunity stage'!A$3:D$13,4,0)</f>
        <v>#N/A</v>
      </c>
      <c r="N85" s="27"/>
      <c r="O85" s="30"/>
      <c r="P85" s="28"/>
      <c r="Q85" s="28"/>
      <c r="R85" s="29">
        <f t="shared" si="9"/>
        <v>0</v>
      </c>
      <c r="S85" s="29">
        <f t="shared" si="10"/>
        <v>0</v>
      </c>
      <c r="T85" s="2"/>
      <c r="U85" s="5"/>
      <c r="V85" s="4"/>
    </row>
    <row r="86" spans="1:22" ht="20" customHeight="1" x14ac:dyDescent="0.35">
      <c r="A86" s="5">
        <v>83</v>
      </c>
      <c r="B86" s="2"/>
      <c r="C86" s="21"/>
      <c r="D86" s="5"/>
      <c r="E86" s="2"/>
      <c r="F86" s="2"/>
      <c r="G86" s="2"/>
      <c r="H86" s="5"/>
      <c r="I86" s="5"/>
      <c r="J86" s="5"/>
      <c r="K86" s="23" t="e">
        <f>VLOOKUP(J86,'Opportunity stage'!A$3:D$13,2,0)</f>
        <v>#N/A</v>
      </c>
      <c r="L86" s="23" t="e">
        <f>VLOOKUP(J86,'Opportunity stage'!A$3:D$13,3,0)</f>
        <v>#N/A</v>
      </c>
      <c r="M86" s="24" t="e">
        <f>VLOOKUP(J86,'Opportunity stage'!A$3:D$13,4,0)</f>
        <v>#N/A</v>
      </c>
      <c r="N86" s="27"/>
      <c r="O86" s="30"/>
      <c r="P86" s="28"/>
      <c r="Q86" s="28"/>
      <c r="R86" s="29">
        <f t="shared" si="9"/>
        <v>0</v>
      </c>
      <c r="S86" s="29">
        <f t="shared" si="10"/>
        <v>0</v>
      </c>
      <c r="T86" s="2"/>
      <c r="U86" s="5"/>
      <c r="V86" s="4"/>
    </row>
    <row r="87" spans="1:22" ht="20" customHeight="1" x14ac:dyDescent="0.35">
      <c r="A87" s="5">
        <v>84</v>
      </c>
      <c r="B87" s="2"/>
      <c r="C87" s="21"/>
      <c r="D87" s="5"/>
      <c r="E87" s="2"/>
      <c r="F87" s="2"/>
      <c r="G87" s="2"/>
      <c r="H87" s="5"/>
      <c r="I87" s="5"/>
      <c r="J87" s="5"/>
      <c r="K87" s="23" t="e">
        <f>VLOOKUP(J87,'Opportunity stage'!A$3:D$13,2,0)</f>
        <v>#N/A</v>
      </c>
      <c r="L87" s="23" t="e">
        <f>VLOOKUP(J87,'Opportunity stage'!A$3:D$13,3,0)</f>
        <v>#N/A</v>
      </c>
      <c r="M87" s="24" t="e">
        <f>VLOOKUP(J87,'Opportunity stage'!A$3:D$13,4,0)</f>
        <v>#N/A</v>
      </c>
      <c r="N87" s="27"/>
      <c r="O87" s="30"/>
      <c r="P87" s="28"/>
      <c r="Q87" s="28"/>
      <c r="R87" s="29">
        <f t="shared" si="9"/>
        <v>0</v>
      </c>
      <c r="S87" s="29">
        <f t="shared" si="10"/>
        <v>0</v>
      </c>
      <c r="T87" s="2"/>
      <c r="U87" s="5"/>
      <c r="V87" s="4"/>
    </row>
    <row r="88" spans="1:22" ht="20" customHeight="1" x14ac:dyDescent="0.35">
      <c r="A88" s="5">
        <v>85</v>
      </c>
      <c r="B88" s="2"/>
      <c r="C88" s="21"/>
      <c r="D88" s="5"/>
      <c r="E88" s="2"/>
      <c r="F88" s="2"/>
      <c r="G88" s="2"/>
      <c r="H88" s="5"/>
      <c r="I88" s="5"/>
      <c r="J88" s="5"/>
      <c r="K88" s="23" t="e">
        <f>VLOOKUP(J88,'Opportunity stage'!A$3:D$13,2,0)</f>
        <v>#N/A</v>
      </c>
      <c r="L88" s="23" t="e">
        <f>VLOOKUP(J88,'Opportunity stage'!A$3:D$13,3,0)</f>
        <v>#N/A</v>
      </c>
      <c r="M88" s="24" t="e">
        <f>VLOOKUP(J88,'Opportunity stage'!A$3:D$13,4,0)</f>
        <v>#N/A</v>
      </c>
      <c r="N88" s="27"/>
      <c r="O88" s="30"/>
      <c r="P88" s="28"/>
      <c r="Q88" s="28"/>
      <c r="R88" s="29">
        <f t="shared" si="9"/>
        <v>0</v>
      </c>
      <c r="S88" s="29">
        <f t="shared" si="10"/>
        <v>0</v>
      </c>
      <c r="T88" s="2"/>
      <c r="U88" s="5"/>
      <c r="V88" s="4"/>
    </row>
    <row r="89" spans="1:22" ht="20" customHeight="1" x14ac:dyDescent="0.35">
      <c r="A89" s="5">
        <v>86</v>
      </c>
      <c r="B89" s="2"/>
      <c r="C89" s="21"/>
      <c r="D89" s="5"/>
      <c r="E89" s="2"/>
      <c r="F89" s="2"/>
      <c r="G89" s="2"/>
      <c r="H89" s="5"/>
      <c r="I89" s="5"/>
      <c r="J89" s="5"/>
      <c r="K89" s="23" t="e">
        <f>VLOOKUP(J89,'Opportunity stage'!A$3:D$13,2,0)</f>
        <v>#N/A</v>
      </c>
      <c r="L89" s="23" t="e">
        <f>VLOOKUP(J89,'Opportunity stage'!A$3:D$13,3,0)</f>
        <v>#N/A</v>
      </c>
      <c r="M89" s="24" t="e">
        <f>VLOOKUP(J89,'Opportunity stage'!A$3:D$13,4,0)</f>
        <v>#N/A</v>
      </c>
      <c r="N89" s="27"/>
      <c r="O89" s="30"/>
      <c r="P89" s="28"/>
      <c r="Q89" s="28"/>
      <c r="R89" s="29">
        <f t="shared" si="9"/>
        <v>0</v>
      </c>
      <c r="S89" s="29">
        <f t="shared" si="10"/>
        <v>0</v>
      </c>
      <c r="T89" s="2"/>
      <c r="U89" s="5"/>
      <c r="V89" s="4"/>
    </row>
    <row r="90" spans="1:22" ht="20" customHeight="1" x14ac:dyDescent="0.35">
      <c r="A90" s="5">
        <v>87</v>
      </c>
      <c r="B90" s="2"/>
      <c r="C90" s="21"/>
      <c r="D90" s="5"/>
      <c r="E90" s="2"/>
      <c r="F90" s="2"/>
      <c r="G90" s="2"/>
      <c r="H90" s="5"/>
      <c r="I90" s="5"/>
      <c r="J90" s="5"/>
      <c r="K90" s="23" t="e">
        <f>VLOOKUP(J90,'Opportunity stage'!A$3:D$13,2,0)</f>
        <v>#N/A</v>
      </c>
      <c r="L90" s="23" t="e">
        <f>VLOOKUP(J90,'Opportunity stage'!A$3:D$13,3,0)</f>
        <v>#N/A</v>
      </c>
      <c r="M90" s="24" t="e">
        <f>VLOOKUP(J90,'Opportunity stage'!A$3:D$13,4,0)</f>
        <v>#N/A</v>
      </c>
      <c r="N90" s="27"/>
      <c r="O90" s="30"/>
      <c r="P90" s="28"/>
      <c r="Q90" s="28"/>
      <c r="R90" s="29">
        <f t="shared" si="9"/>
        <v>0</v>
      </c>
      <c r="S90" s="29">
        <f t="shared" si="10"/>
        <v>0</v>
      </c>
      <c r="T90" s="2"/>
      <c r="U90" s="5"/>
      <c r="V90" s="4"/>
    </row>
    <row r="91" spans="1:22" ht="20" customHeight="1" x14ac:dyDescent="0.35">
      <c r="A91" s="5">
        <v>88</v>
      </c>
      <c r="B91" s="2"/>
      <c r="C91" s="21"/>
      <c r="D91" s="5"/>
      <c r="E91" s="2"/>
      <c r="F91" s="2"/>
      <c r="G91" s="2"/>
      <c r="H91" s="5"/>
      <c r="I91" s="5"/>
      <c r="J91" s="5"/>
      <c r="K91" s="23" t="e">
        <f>VLOOKUP(J91,'Opportunity stage'!A$3:D$13,2,0)</f>
        <v>#N/A</v>
      </c>
      <c r="L91" s="23" t="e">
        <f>VLOOKUP(J91,'Opportunity stage'!A$3:D$13,3,0)</f>
        <v>#N/A</v>
      </c>
      <c r="M91" s="24" t="e">
        <f>VLOOKUP(J91,'Opportunity stage'!A$3:D$13,4,0)</f>
        <v>#N/A</v>
      </c>
      <c r="N91" s="27"/>
      <c r="O91" s="30"/>
      <c r="P91" s="28"/>
      <c r="Q91" s="28"/>
      <c r="R91" s="29">
        <f t="shared" si="9"/>
        <v>0</v>
      </c>
      <c r="S91" s="29">
        <f t="shared" si="10"/>
        <v>0</v>
      </c>
      <c r="T91" s="2"/>
      <c r="U91" s="5"/>
      <c r="V91" s="4"/>
    </row>
    <row r="92" spans="1:22" ht="20" customHeight="1" x14ac:dyDescent="0.35">
      <c r="A92" s="5">
        <v>89</v>
      </c>
      <c r="B92" s="2"/>
      <c r="C92" s="21"/>
      <c r="D92" s="5"/>
      <c r="E92" s="2"/>
      <c r="F92" s="2"/>
      <c r="G92" s="2"/>
      <c r="H92" s="5"/>
      <c r="I92" s="5"/>
      <c r="J92" s="5"/>
      <c r="K92" s="23" t="e">
        <f>VLOOKUP(J92,'Opportunity stage'!A$3:D$13,2,0)</f>
        <v>#N/A</v>
      </c>
      <c r="L92" s="23" t="e">
        <f>VLOOKUP(J92,'Opportunity stage'!A$3:D$13,3,0)</f>
        <v>#N/A</v>
      </c>
      <c r="M92" s="24" t="e">
        <f>VLOOKUP(J92,'Opportunity stage'!A$3:D$13,4,0)</f>
        <v>#N/A</v>
      </c>
      <c r="N92" s="27"/>
      <c r="O92" s="30"/>
      <c r="P92" s="28"/>
      <c r="Q92" s="28"/>
      <c r="R92" s="29">
        <f t="shared" si="9"/>
        <v>0</v>
      </c>
      <c r="S92" s="29">
        <f t="shared" si="10"/>
        <v>0</v>
      </c>
      <c r="T92" s="2"/>
      <c r="U92" s="5"/>
      <c r="V92" s="4"/>
    </row>
    <row r="93" spans="1:22" ht="20" customHeight="1" x14ac:dyDescent="0.35">
      <c r="A93" s="5">
        <v>90</v>
      </c>
      <c r="B93" s="2"/>
      <c r="C93" s="21"/>
      <c r="D93" s="5"/>
      <c r="E93" s="2"/>
      <c r="F93" s="2"/>
      <c r="G93" s="2"/>
      <c r="H93" s="5"/>
      <c r="I93" s="5"/>
      <c r="J93" s="5"/>
      <c r="K93" s="23" t="e">
        <f>VLOOKUP(J93,'Opportunity stage'!A$3:D$13,2,0)</f>
        <v>#N/A</v>
      </c>
      <c r="L93" s="23" t="e">
        <f>VLOOKUP(J93,'Opportunity stage'!A$3:D$13,3,0)</f>
        <v>#N/A</v>
      </c>
      <c r="M93" s="24" t="e">
        <f>VLOOKUP(J93,'Opportunity stage'!A$3:D$13,4,0)</f>
        <v>#N/A</v>
      </c>
      <c r="N93" s="27"/>
      <c r="O93" s="30"/>
      <c r="P93" s="28"/>
      <c r="Q93" s="28"/>
      <c r="R93" s="29">
        <f t="shared" si="9"/>
        <v>0</v>
      </c>
      <c r="S93" s="29">
        <f t="shared" si="10"/>
        <v>0</v>
      </c>
      <c r="T93" s="2"/>
      <c r="U93" s="5"/>
      <c r="V93" s="4"/>
    </row>
    <row r="94" spans="1:22" ht="20" customHeight="1" x14ac:dyDescent="0.35">
      <c r="A94" s="5">
        <v>91</v>
      </c>
      <c r="B94" s="2"/>
      <c r="C94" s="21"/>
      <c r="D94" s="5"/>
      <c r="E94" s="2"/>
      <c r="F94" s="2"/>
      <c r="G94" s="2"/>
      <c r="H94" s="5"/>
      <c r="I94" s="5"/>
      <c r="J94" s="5"/>
      <c r="K94" s="23" t="e">
        <f>VLOOKUP(J94,'Opportunity stage'!A$3:D$13,2,0)</f>
        <v>#N/A</v>
      </c>
      <c r="L94" s="23" t="e">
        <f>VLOOKUP(J94,'Opportunity stage'!A$3:D$13,3,0)</f>
        <v>#N/A</v>
      </c>
      <c r="M94" s="24" t="e">
        <f>VLOOKUP(J94,'Opportunity stage'!A$3:D$13,4,0)</f>
        <v>#N/A</v>
      </c>
      <c r="N94" s="27"/>
      <c r="O94" s="30"/>
      <c r="P94" s="28"/>
      <c r="Q94" s="28"/>
      <c r="R94" s="29">
        <f t="shared" si="9"/>
        <v>0</v>
      </c>
      <c r="S94" s="29">
        <f t="shared" si="10"/>
        <v>0</v>
      </c>
      <c r="T94" s="2"/>
      <c r="U94" s="5"/>
      <c r="V94" s="4"/>
    </row>
    <row r="95" spans="1:22" ht="20" customHeight="1" x14ac:dyDescent="0.35">
      <c r="A95" s="5">
        <v>92</v>
      </c>
      <c r="B95" s="2"/>
      <c r="C95" s="21"/>
      <c r="D95" s="5"/>
      <c r="E95" s="2"/>
      <c r="F95" s="2"/>
      <c r="G95" s="2"/>
      <c r="H95" s="5"/>
      <c r="I95" s="5"/>
      <c r="J95" s="5"/>
      <c r="K95" s="23" t="e">
        <f>VLOOKUP(J95,'Opportunity stage'!A$3:D$13,2,0)</f>
        <v>#N/A</v>
      </c>
      <c r="L95" s="23" t="e">
        <f>VLOOKUP(J95,'Opportunity stage'!A$3:D$13,3,0)</f>
        <v>#N/A</v>
      </c>
      <c r="M95" s="24" t="e">
        <f>VLOOKUP(J95,'Opportunity stage'!A$3:D$13,4,0)</f>
        <v>#N/A</v>
      </c>
      <c r="N95" s="27"/>
      <c r="O95" s="30"/>
      <c r="P95" s="28"/>
      <c r="Q95" s="28"/>
      <c r="R95" s="29">
        <f t="shared" si="9"/>
        <v>0</v>
      </c>
      <c r="S95" s="29">
        <f t="shared" si="10"/>
        <v>0</v>
      </c>
      <c r="T95" s="2"/>
      <c r="U95" s="5"/>
      <c r="V95" s="4"/>
    </row>
    <row r="96" spans="1:22" ht="20" customHeight="1" x14ac:dyDescent="0.35">
      <c r="A96" s="5">
        <v>93</v>
      </c>
      <c r="B96" s="2"/>
      <c r="C96" s="21"/>
      <c r="D96" s="5"/>
      <c r="E96" s="2"/>
      <c r="F96" s="2"/>
      <c r="G96" s="2"/>
      <c r="H96" s="5"/>
      <c r="I96" s="5"/>
      <c r="J96" s="5"/>
      <c r="K96" s="23" t="e">
        <f>VLOOKUP(J96,'Opportunity stage'!A$3:D$13,2,0)</f>
        <v>#N/A</v>
      </c>
      <c r="L96" s="23" t="e">
        <f>VLOOKUP(J96,'Opportunity stage'!A$3:D$13,3,0)</f>
        <v>#N/A</v>
      </c>
      <c r="M96" s="24" t="e">
        <f>VLOOKUP(J96,'Opportunity stage'!A$3:D$13,4,0)</f>
        <v>#N/A</v>
      </c>
      <c r="N96" s="27"/>
      <c r="O96" s="30"/>
      <c r="P96" s="28"/>
      <c r="Q96" s="28"/>
      <c r="R96" s="29">
        <f t="shared" si="9"/>
        <v>0</v>
      </c>
      <c r="S96" s="29">
        <f t="shared" si="10"/>
        <v>0</v>
      </c>
      <c r="T96" s="2"/>
      <c r="U96" s="5"/>
      <c r="V96" s="4"/>
    </row>
    <row r="97" spans="1:22" ht="20" customHeight="1" x14ac:dyDescent="0.35">
      <c r="A97" s="5">
        <v>94</v>
      </c>
      <c r="B97" s="2"/>
      <c r="C97" s="21"/>
      <c r="D97" s="5"/>
      <c r="E97" s="2"/>
      <c r="F97" s="2"/>
      <c r="G97" s="2"/>
      <c r="H97" s="5"/>
      <c r="I97" s="5"/>
      <c r="J97" s="5"/>
      <c r="K97" s="23" t="e">
        <f>VLOOKUP(J97,'Opportunity stage'!A$3:D$13,2,0)</f>
        <v>#N/A</v>
      </c>
      <c r="L97" s="23" t="e">
        <f>VLOOKUP(J97,'Opportunity stage'!A$3:D$13,3,0)</f>
        <v>#N/A</v>
      </c>
      <c r="M97" s="24" t="e">
        <f>VLOOKUP(J97,'Opportunity stage'!A$3:D$13,4,0)</f>
        <v>#N/A</v>
      </c>
      <c r="N97" s="27"/>
      <c r="O97" s="30"/>
      <c r="P97" s="28"/>
      <c r="Q97" s="28"/>
      <c r="R97" s="29">
        <f t="shared" si="9"/>
        <v>0</v>
      </c>
      <c r="S97" s="29">
        <f t="shared" si="10"/>
        <v>0</v>
      </c>
      <c r="T97" s="2"/>
      <c r="U97" s="5"/>
      <c r="V97" s="4"/>
    </row>
    <row r="98" spans="1:22" ht="20" customHeight="1" x14ac:dyDescent="0.35">
      <c r="A98" s="5">
        <v>95</v>
      </c>
      <c r="B98" s="2"/>
      <c r="C98" s="21"/>
      <c r="D98" s="5"/>
      <c r="E98" s="2"/>
      <c r="F98" s="2"/>
      <c r="G98" s="2"/>
      <c r="H98" s="5"/>
      <c r="I98" s="5"/>
      <c r="J98" s="5"/>
      <c r="K98" s="23" t="e">
        <f>VLOOKUP(J98,'Opportunity stage'!A$3:D$13,2,0)</f>
        <v>#N/A</v>
      </c>
      <c r="L98" s="23" t="e">
        <f>VLOOKUP(J98,'Opportunity stage'!A$3:D$13,3,0)</f>
        <v>#N/A</v>
      </c>
      <c r="M98" s="24" t="e">
        <f>VLOOKUP(J98,'Opportunity stage'!A$3:D$13,4,0)</f>
        <v>#N/A</v>
      </c>
      <c r="N98" s="27"/>
      <c r="O98" s="30"/>
      <c r="P98" s="28"/>
      <c r="Q98" s="28"/>
      <c r="R98" s="29">
        <f t="shared" si="9"/>
        <v>0</v>
      </c>
      <c r="S98" s="29">
        <f t="shared" si="10"/>
        <v>0</v>
      </c>
      <c r="T98" s="2"/>
      <c r="U98" s="5"/>
      <c r="V98" s="4"/>
    </row>
    <row r="99" spans="1:22" ht="20" customHeight="1" x14ac:dyDescent="0.35">
      <c r="A99" s="5">
        <v>96</v>
      </c>
      <c r="B99" s="2"/>
      <c r="C99" s="21"/>
      <c r="D99" s="5"/>
      <c r="E99" s="2"/>
      <c r="F99" s="2"/>
      <c r="G99" s="2"/>
      <c r="H99" s="5"/>
      <c r="I99" s="5"/>
      <c r="J99" s="5"/>
      <c r="K99" s="23" t="e">
        <f>VLOOKUP(J99,'Opportunity stage'!A$3:D$13,2,0)</f>
        <v>#N/A</v>
      </c>
      <c r="L99" s="23" t="e">
        <f>VLOOKUP(J99,'Opportunity stage'!A$3:D$13,3,0)</f>
        <v>#N/A</v>
      </c>
      <c r="M99" s="24" t="e">
        <f>VLOOKUP(J99,'Opportunity stage'!A$3:D$13,4,0)</f>
        <v>#N/A</v>
      </c>
      <c r="N99" s="27"/>
      <c r="O99" s="30"/>
      <c r="P99" s="28"/>
      <c r="Q99" s="28"/>
      <c r="R99" s="29">
        <f t="shared" si="9"/>
        <v>0</v>
      </c>
      <c r="S99" s="29">
        <f t="shared" si="10"/>
        <v>0</v>
      </c>
      <c r="T99" s="2"/>
      <c r="U99" s="5"/>
      <c r="V99" s="4"/>
    </row>
    <row r="100" spans="1:22" ht="20" customHeight="1" x14ac:dyDescent="0.35">
      <c r="A100" s="5">
        <v>97</v>
      </c>
      <c r="B100" s="2"/>
      <c r="C100" s="21"/>
      <c r="D100" s="5"/>
      <c r="E100" s="2"/>
      <c r="F100" s="2"/>
      <c r="G100" s="2"/>
      <c r="H100" s="5"/>
      <c r="I100" s="5"/>
      <c r="J100" s="5"/>
      <c r="K100" s="23" t="e">
        <f>VLOOKUP(J100,'Opportunity stage'!A$3:D$13,2,0)</f>
        <v>#N/A</v>
      </c>
      <c r="L100" s="23" t="e">
        <f>VLOOKUP(J100,'Opportunity stage'!A$3:D$13,3,0)</f>
        <v>#N/A</v>
      </c>
      <c r="M100" s="24" t="e">
        <f>VLOOKUP(J100,'Opportunity stage'!A$3:D$13,4,0)</f>
        <v>#N/A</v>
      </c>
      <c r="N100" s="27"/>
      <c r="O100" s="30"/>
      <c r="P100" s="28"/>
      <c r="Q100" s="28"/>
      <c r="R100" s="29">
        <f t="shared" si="9"/>
        <v>0</v>
      </c>
      <c r="S100" s="29">
        <f t="shared" si="10"/>
        <v>0</v>
      </c>
      <c r="T100" s="2"/>
      <c r="U100" s="5"/>
      <c r="V100" s="4"/>
    </row>
    <row r="101" spans="1:22" ht="20" customHeight="1" x14ac:dyDescent="0.35">
      <c r="A101" s="5">
        <v>98</v>
      </c>
      <c r="B101" s="2"/>
      <c r="C101" s="21"/>
      <c r="D101" s="5"/>
      <c r="E101" s="2"/>
      <c r="F101" s="2"/>
      <c r="G101" s="2"/>
      <c r="H101" s="5"/>
      <c r="I101" s="5"/>
      <c r="J101" s="5"/>
      <c r="K101" s="23" t="e">
        <f>VLOOKUP(J101,'Opportunity stage'!A$3:D$13,2,0)</f>
        <v>#N/A</v>
      </c>
      <c r="L101" s="23" t="e">
        <f>VLOOKUP(J101,'Opportunity stage'!A$3:D$13,3,0)</f>
        <v>#N/A</v>
      </c>
      <c r="M101" s="24" t="e">
        <f>VLOOKUP(J101,'Opportunity stage'!A$3:D$13,4,0)</f>
        <v>#N/A</v>
      </c>
      <c r="N101" s="27"/>
      <c r="O101" s="30"/>
      <c r="P101" s="28"/>
      <c r="Q101" s="28"/>
      <c r="R101" s="29">
        <f>Q101/$R$2</f>
        <v>0</v>
      </c>
      <c r="S101" s="29">
        <f>(P101*R101)/1000000</f>
        <v>0</v>
      </c>
      <c r="T101" s="2"/>
      <c r="U101" s="5"/>
      <c r="V101" s="4"/>
    </row>
    <row r="102" spans="1:22" ht="20" customHeight="1" x14ac:dyDescent="0.35">
      <c r="A102" s="5">
        <v>99</v>
      </c>
      <c r="B102" s="2"/>
      <c r="C102" s="21"/>
      <c r="D102" s="5"/>
      <c r="E102" s="2"/>
      <c r="F102" s="2"/>
      <c r="G102" s="2"/>
      <c r="H102" s="5"/>
      <c r="I102" s="5"/>
      <c r="J102" s="5"/>
      <c r="K102" s="23" t="e">
        <f>VLOOKUP(J102,'Opportunity stage'!A$3:D$13,2,0)</f>
        <v>#N/A</v>
      </c>
      <c r="L102" s="23" t="e">
        <f>VLOOKUP(J102,'Opportunity stage'!A$3:D$13,3,0)</f>
        <v>#N/A</v>
      </c>
      <c r="M102" s="24" t="e">
        <f>VLOOKUP(J102,'Opportunity stage'!A$3:D$13,4,0)</f>
        <v>#N/A</v>
      </c>
      <c r="N102" s="27"/>
      <c r="O102" s="30"/>
      <c r="P102" s="28"/>
      <c r="Q102" s="28"/>
      <c r="R102" s="29">
        <f>Q102/$R$2</f>
        <v>0</v>
      </c>
      <c r="S102" s="29">
        <f>(P102*R102)/1000000</f>
        <v>0</v>
      </c>
      <c r="T102" s="2"/>
      <c r="U102" s="5"/>
      <c r="V102" s="4"/>
    </row>
    <row r="103" spans="1:22" ht="20" customHeight="1" x14ac:dyDescent="0.35">
      <c r="A103" s="5">
        <v>100</v>
      </c>
      <c r="B103" s="2"/>
      <c r="C103" s="21"/>
      <c r="D103" s="5"/>
      <c r="E103" s="2"/>
      <c r="F103" s="2"/>
      <c r="G103" s="2"/>
      <c r="H103" s="5"/>
      <c r="I103" s="5"/>
      <c r="J103" s="5"/>
      <c r="K103" s="23" t="e">
        <f>VLOOKUP(J103,'Opportunity stage'!A$3:D$13,2,0)</f>
        <v>#N/A</v>
      </c>
      <c r="L103" s="23" t="e">
        <f>VLOOKUP(J103,'Opportunity stage'!A$3:D$13,3,0)</f>
        <v>#N/A</v>
      </c>
      <c r="M103" s="24" t="e">
        <f>VLOOKUP(J103,'Opportunity stage'!A$3:D$13,4,0)</f>
        <v>#N/A</v>
      </c>
      <c r="N103" s="27"/>
      <c r="O103" s="30"/>
      <c r="P103" s="28"/>
      <c r="Q103" s="28"/>
      <c r="R103" s="29">
        <f t="shared" si="9"/>
        <v>0</v>
      </c>
      <c r="S103" s="29">
        <f t="shared" si="10"/>
        <v>0</v>
      </c>
      <c r="T103" s="2"/>
      <c r="U103" s="5"/>
      <c r="V103" s="4"/>
    </row>
  </sheetData>
  <sheetProtection selectLockedCells="1" autoFilter="0"/>
  <mergeCells count="2">
    <mergeCell ref="R1:S1"/>
    <mergeCell ref="K1:M1"/>
  </mergeCells>
  <conditionalFormatting sqref="J4:J103">
    <cfRule type="containsText" dxfId="14" priority="2" operator="containsText" text="O (D)">
      <formula>NOT(ISERROR(SEARCH("O (D)",J4)))</formula>
    </cfRule>
    <cfRule type="containsText" dxfId="13" priority="3" operator="containsText" text="O (H)">
      <formula>NOT(ISERROR(SEARCH("O (H)",J4)))</formula>
    </cfRule>
    <cfRule type="containsText" dxfId="12" priority="4" operator="containsText" text="O (L)">
      <formula>NOT(ISERROR(SEARCH("O (L)",J4)))</formula>
    </cfRule>
    <cfRule type="containsText" dxfId="11" priority="9" operator="containsText" text="SECURED">
      <formula>NOT(ISERROR(SEARCH("SECURED",J4)))</formula>
    </cfRule>
  </conditionalFormatting>
  <conditionalFormatting sqref="N4:N103">
    <cfRule type="containsText" dxfId="10" priority="5" operator="containsText" text="Lost">
      <formula>NOT(ISERROR(SEARCH("Lost",N4)))</formula>
    </cfRule>
    <cfRule type="containsText" dxfId="9" priority="6" operator="containsText" text="On hold">
      <formula>NOT(ISERROR(SEARCH("On hold",N4)))</formula>
    </cfRule>
    <cfRule type="containsText" dxfId="8" priority="7" operator="containsText" text="Dropped">
      <formula>NOT(ISERROR(SEARCH("Dropped",N4)))</formula>
    </cfRule>
  </conditionalFormatting>
  <conditionalFormatting sqref="N4:O103">
    <cfRule type="containsText" dxfId="7" priority="8" operator="containsText" text="Secured">
      <formula>NOT(ISERROR(SEARCH("Secured",N4)))</formula>
    </cfRule>
  </conditionalFormatting>
  <conditionalFormatting sqref="O4:O103">
    <cfRule type="containsText" dxfId="6" priority="11" operator="containsText" text="Lost">
      <formula>NOT(ISERROR(SEARCH("Lost",O4)))</formula>
    </cfRule>
    <cfRule type="containsText" dxfId="5" priority="12" operator="containsText" text="Lost">
      <formula>NOT(ISERROR(SEARCH("Lost",O4)))</formula>
    </cfRule>
    <cfRule type="containsText" dxfId="4" priority="13" operator="containsText" text="Lost">
      <formula>NOT(ISERROR(SEARCH("Lost",O4)))</formula>
    </cfRule>
    <cfRule type="containsText" dxfId="3" priority="14" operator="containsText" text="Lost">
      <formula>NOT(ISERROR(SEARCH("Lost",O4)))</formula>
    </cfRule>
    <cfRule type="containsText" dxfId="2" priority="15" operator="containsText" text="Lost">
      <formula>NOT(ISERROR(SEARCH("Lost",O4)))</formula>
    </cfRule>
    <cfRule type="containsText" dxfId="1" priority="16" operator="containsText" text="Dropped">
      <formula>NOT(ISERROR(SEARCH("Dropped",O4)))</formula>
    </cfRule>
    <cfRule type="containsText" dxfId="0" priority="17" operator="containsText" text="On hold">
      <formula>NOT(ISERROR(SEARCH("On hold",O4)))</formula>
    </cfRule>
  </conditionalFormatting>
  <pageMargins left="0.7" right="0.7" top="0.75" bottom="0.75" header="0.3" footer="0.3"/>
  <pageSetup paperSize="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59DD96A-2B96-4EBE-8DC6-5C41A5C2F0DB}">
          <x14:formula1>
            <xm:f>'Drop down menu'!$A$4:$A$60</xm:f>
          </x14:formula1>
          <xm:sqref>B4:B103</xm:sqref>
        </x14:dataValidation>
        <x14:dataValidation type="list" allowBlank="1" showInputMessage="1" showErrorMessage="1" xr:uid="{181AF030-4186-4D0A-8B3D-119B83B6750A}">
          <x14:formula1>
            <xm:f>'Drop down menu'!$F$4:$F$22</xm:f>
          </x14:formula1>
          <xm:sqref>J4:J103</xm:sqref>
        </x14:dataValidation>
        <x14:dataValidation type="list" allowBlank="1" showInputMessage="1" showErrorMessage="1" xr:uid="{3112A3A9-C190-499B-8D84-8A3F5989310C}">
          <x14:formula1>
            <xm:f>'Drop down menu'!$G$4:$G$51</xm:f>
          </x14:formula1>
          <xm:sqref>N4:N103</xm:sqref>
        </x14:dataValidation>
        <x14:dataValidation type="list" allowBlank="1" showInputMessage="1" showErrorMessage="1" xr:uid="{2603CD6C-40C5-4F16-8116-0D922F85433F}">
          <x14:formula1>
            <xm:f>'Drop down menu'!$H$4:$H$14</xm:f>
          </x14:formula1>
          <xm:sqref>O4:O103</xm:sqref>
        </x14:dataValidation>
        <x14:dataValidation type="list" allowBlank="1" showInputMessage="1" showErrorMessage="1" xr:uid="{07C5E177-E552-4161-85C6-9FF39E175B3B}">
          <x14:formula1>
            <xm:f>'Drop down menu'!$D$4:$D$13</xm:f>
          </x14:formula1>
          <xm:sqref>G4:G103</xm:sqref>
        </x14:dataValidation>
        <x14:dataValidation type="list" allowBlank="1" showInputMessage="1" showErrorMessage="1" xr:uid="{3ADF1F3C-9E01-4EAA-99CB-639387EC06A0}">
          <x14:formula1>
            <xm:f>'Drop down menu'!$E$4:$E$13</xm:f>
          </x14:formula1>
          <xm:sqref>D4:D103</xm:sqref>
        </x14:dataValidation>
        <x14:dataValidation type="list" allowBlank="1" showInputMessage="1" showErrorMessage="1" xr:uid="{F23D583B-DF34-4AF5-A747-F687CD5F59E3}">
          <x14:formula1>
            <xm:f>'Drop down menu'!$I$4:$I$10</xm:f>
          </x14:formula1>
          <xm:sqref>H4:H103</xm:sqref>
        </x14:dataValidation>
        <x14:dataValidation type="list" allowBlank="1" showInputMessage="1" showErrorMessage="1" xr:uid="{88F88265-8B7C-4936-BA17-779C0E343DFC}">
          <x14:formula1>
            <xm:f>'Drop down menu'!$J$4:$J$9</xm:f>
          </x14:formula1>
          <xm:sqref>I4:I103</xm:sqref>
        </x14:dataValidation>
        <x14:dataValidation type="list" allowBlank="1" showInputMessage="1" showErrorMessage="1" xr:uid="{F760A71E-DB6A-4444-9F0E-6BC09E3F0E5A}">
          <x14:formula1>
            <xm:f>'Drop down menu'!$B$4:$B$37</xm:f>
          </x14:formula1>
          <xm:sqref>E4:E103</xm:sqref>
        </x14:dataValidation>
        <x14:dataValidation type="list" allowBlank="1" showInputMessage="1" showErrorMessage="1" xr:uid="{A9763ECB-C07F-4A9E-BB8E-85695389A38F}">
          <x14:formula1>
            <xm:f>'Drop down menu'!$C$4:$C$33</xm:f>
          </x14:formula1>
          <xm:sqref>F4:F103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B3DB-B3A5-4299-BF70-4D37339BAC92}">
  <dimension ref="A2:N20"/>
  <sheetViews>
    <sheetView showGridLines="0" workbookViewId="0">
      <selection activeCell="J19" sqref="J19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 s="88" t="s">
        <v>107</v>
      </c>
      <c r="B2" s="87" t="s">
        <v>190</v>
      </c>
    </row>
    <row r="4" spans="1:14" ht="20.149999999999999" hidden="1" customHeight="1" x14ac:dyDescent="0.35">
      <c r="A4" s="86" t="s">
        <v>191</v>
      </c>
      <c r="B4" s="86" t="s">
        <v>192</v>
      </c>
      <c r="C4" s="87"/>
      <c r="D4" s="87"/>
      <c r="E4" s="87"/>
      <c r="F4" s="87"/>
      <c r="G4"/>
      <c r="H4"/>
      <c r="I4"/>
      <c r="J4"/>
      <c r="K4"/>
      <c r="L4"/>
      <c r="M4"/>
      <c r="N4"/>
    </row>
    <row r="5" spans="1:14" s="11" customFormat="1" ht="40" customHeight="1" x14ac:dyDescent="0.35">
      <c r="A5" s="94" t="s">
        <v>193</v>
      </c>
      <c r="B5" s="95" t="s">
        <v>12</v>
      </c>
      <c r="C5" s="95" t="s">
        <v>31</v>
      </c>
      <c r="D5" s="95" t="s">
        <v>22</v>
      </c>
      <c r="E5" s="95" t="s">
        <v>47</v>
      </c>
      <c r="F5" s="89" t="s">
        <v>194</v>
      </c>
      <c r="G5" s="19"/>
      <c r="H5" s="19"/>
      <c r="I5" s="19"/>
      <c r="J5" s="19"/>
      <c r="K5" s="19"/>
      <c r="L5" s="19"/>
      <c r="M5" s="19"/>
      <c r="N5" s="19"/>
    </row>
    <row r="6" spans="1:14" ht="20.149999999999999" customHeight="1" x14ac:dyDescent="0.35">
      <c r="A6" s="90" t="s">
        <v>38</v>
      </c>
      <c r="B6" s="91">
        <v>0</v>
      </c>
      <c r="C6" s="91">
        <v>153.58033487709301</v>
      </c>
      <c r="D6" s="91">
        <v>183.66887543047145</v>
      </c>
      <c r="E6" s="91">
        <v>60.957130982068641</v>
      </c>
      <c r="F6" s="93">
        <v>398.20634128963309</v>
      </c>
      <c r="G6"/>
      <c r="H6"/>
      <c r="I6"/>
      <c r="J6"/>
      <c r="K6"/>
      <c r="L6"/>
      <c r="M6"/>
      <c r="N6"/>
    </row>
    <row r="7" spans="1:14" ht="20.149999999999999" customHeight="1" x14ac:dyDescent="0.35">
      <c r="A7" s="90" t="s">
        <v>103</v>
      </c>
      <c r="B7" s="91">
        <v>211.13881961762263</v>
      </c>
      <c r="C7" s="91">
        <v>0</v>
      </c>
      <c r="D7" s="91">
        <v>0.98028737679610489</v>
      </c>
      <c r="E7" s="91">
        <v>18.097613110081941</v>
      </c>
      <c r="F7" s="93">
        <v>230.21672010450067</v>
      </c>
      <c r="G7"/>
      <c r="H7"/>
      <c r="I7"/>
      <c r="J7"/>
      <c r="K7"/>
      <c r="L7"/>
      <c r="M7"/>
      <c r="N7"/>
    </row>
    <row r="8" spans="1:14" ht="20.149999999999999" customHeight="1" x14ac:dyDescent="0.35">
      <c r="A8" s="90" t="s">
        <v>11</v>
      </c>
      <c r="B8" s="91">
        <v>106.87566797292484</v>
      </c>
      <c r="C8" s="91">
        <v>34.770217313858218</v>
      </c>
      <c r="D8" s="91">
        <v>21.672010450065315</v>
      </c>
      <c r="E8" s="91">
        <v>0</v>
      </c>
      <c r="F8" s="93">
        <v>163.31789573684839</v>
      </c>
      <c r="G8"/>
      <c r="H8"/>
      <c r="I8"/>
      <c r="J8"/>
      <c r="K8"/>
      <c r="L8"/>
      <c r="M8"/>
      <c r="N8"/>
    </row>
    <row r="9" spans="1:14" ht="20.149999999999999" customHeight="1" x14ac:dyDescent="0.35">
      <c r="A9" s="90" t="s">
        <v>66</v>
      </c>
      <c r="B9" s="91">
        <v>23.750148438427743</v>
      </c>
      <c r="C9" s="91">
        <v>25.561097256857856</v>
      </c>
      <c r="D9" s="91">
        <v>12.171951074694217</v>
      </c>
      <c r="E9" s="91">
        <v>10.450065312908206</v>
      </c>
      <c r="F9" s="93">
        <v>71.933262082888021</v>
      </c>
      <c r="G9"/>
      <c r="H9"/>
      <c r="I9"/>
      <c r="J9"/>
      <c r="K9"/>
      <c r="L9"/>
      <c r="M9"/>
      <c r="N9"/>
    </row>
    <row r="10" spans="1:14" ht="20.149999999999999" customHeight="1" x14ac:dyDescent="0.35">
      <c r="A10" s="90" t="s">
        <v>73</v>
      </c>
      <c r="B10" s="91">
        <v>0</v>
      </c>
      <c r="C10" s="91">
        <v>0</v>
      </c>
      <c r="D10" s="91">
        <v>0</v>
      </c>
      <c r="E10" s="91">
        <v>22.562641016506355</v>
      </c>
      <c r="F10" s="93">
        <v>22.562641016506355</v>
      </c>
      <c r="G10"/>
      <c r="H10"/>
      <c r="I10"/>
      <c r="J10"/>
      <c r="K10"/>
      <c r="L10"/>
      <c r="M10"/>
      <c r="N10"/>
    </row>
    <row r="11" spans="1:14" ht="20.149999999999999" customHeight="1" x14ac:dyDescent="0.35">
      <c r="A11" s="90" t="s">
        <v>52</v>
      </c>
      <c r="B11" s="91">
        <v>0</v>
      </c>
      <c r="C11" s="91">
        <v>14.250089063056645</v>
      </c>
      <c r="D11" s="91">
        <v>0</v>
      </c>
      <c r="E11" s="91">
        <v>0</v>
      </c>
      <c r="F11" s="93">
        <v>14.250089063056645</v>
      </c>
      <c r="G11"/>
      <c r="H11"/>
      <c r="I11"/>
      <c r="J11"/>
      <c r="K11"/>
      <c r="L11"/>
      <c r="M11"/>
      <c r="N11"/>
    </row>
    <row r="12" spans="1:14" ht="20.149999999999999" customHeight="1" x14ac:dyDescent="0.35">
      <c r="A12" s="90" t="s">
        <v>63</v>
      </c>
      <c r="B12" s="91">
        <v>0</v>
      </c>
      <c r="C12" s="91">
        <v>3.8852867830423947</v>
      </c>
      <c r="D12" s="91">
        <v>0</v>
      </c>
      <c r="E12" s="91">
        <v>5.2369077306733169</v>
      </c>
      <c r="F12" s="93">
        <v>9.1221945137157121</v>
      </c>
      <c r="G12"/>
      <c r="H12"/>
      <c r="I12"/>
      <c r="J12"/>
      <c r="K12"/>
      <c r="L12"/>
      <c r="M12"/>
      <c r="N12"/>
    </row>
    <row r="13" spans="1:14" ht="20.149999999999999" customHeight="1" x14ac:dyDescent="0.35">
      <c r="A13" s="90" t="s">
        <v>30</v>
      </c>
      <c r="B13" s="91">
        <v>4.7500296876855481</v>
      </c>
      <c r="C13" s="91">
        <v>0</v>
      </c>
      <c r="D13" s="91">
        <v>0</v>
      </c>
      <c r="E13" s="91">
        <v>0</v>
      </c>
      <c r="F13" s="93">
        <v>4.7500296876855481</v>
      </c>
      <c r="G13"/>
      <c r="H13"/>
      <c r="I13"/>
      <c r="J13"/>
      <c r="K13"/>
      <c r="L13"/>
      <c r="M13"/>
      <c r="N13"/>
    </row>
    <row r="14" spans="1:14" ht="20.149999999999999" customHeight="1" x14ac:dyDescent="0.35">
      <c r="A14" s="90" t="s">
        <v>77</v>
      </c>
      <c r="B14" s="91">
        <v>0</v>
      </c>
      <c r="C14" s="91">
        <v>0</v>
      </c>
      <c r="D14" s="91">
        <v>0</v>
      </c>
      <c r="E14" s="91">
        <v>2.9687685548034679</v>
      </c>
      <c r="F14" s="93">
        <v>2.9687685548034679</v>
      </c>
      <c r="G14"/>
      <c r="H14"/>
      <c r="I14"/>
      <c r="J14"/>
      <c r="K14"/>
      <c r="L14"/>
      <c r="M14"/>
      <c r="N14"/>
    </row>
    <row r="15" spans="1:14" ht="20.149999999999999" customHeight="1" x14ac:dyDescent="0.35">
      <c r="A15" s="90" t="s">
        <v>104</v>
      </c>
      <c r="B15" s="91">
        <v>0</v>
      </c>
      <c r="C15" s="91">
        <v>2.6718916993231212</v>
      </c>
      <c r="D15" s="91">
        <v>0</v>
      </c>
      <c r="E15" s="91">
        <v>0</v>
      </c>
      <c r="F15" s="93">
        <v>2.6718916993231212</v>
      </c>
      <c r="G15"/>
      <c r="H15"/>
      <c r="I15"/>
      <c r="J15"/>
      <c r="K15"/>
      <c r="L15"/>
      <c r="M15"/>
      <c r="N15"/>
    </row>
    <row r="16" spans="1:14" ht="20.149999999999999" customHeight="1" x14ac:dyDescent="0.35">
      <c r="A16" s="90" t="s">
        <v>94</v>
      </c>
      <c r="B16" s="91">
        <v>0</v>
      </c>
      <c r="C16" s="91">
        <v>0.62047262795392477</v>
      </c>
      <c r="D16" s="91">
        <v>0</v>
      </c>
      <c r="E16" s="91">
        <v>0</v>
      </c>
      <c r="F16" s="93">
        <v>0.62047262795392477</v>
      </c>
      <c r="G16"/>
      <c r="H16"/>
      <c r="I16"/>
      <c r="J16"/>
      <c r="K16"/>
      <c r="L16"/>
      <c r="M16"/>
      <c r="N16"/>
    </row>
    <row r="17" spans="1:14" ht="20.149999999999999" customHeight="1" x14ac:dyDescent="0.35">
      <c r="A17" s="90" t="s">
        <v>81</v>
      </c>
      <c r="B17" s="91">
        <v>0.2280014250089063</v>
      </c>
      <c r="C17" s="91">
        <v>0</v>
      </c>
      <c r="D17" s="91">
        <v>0.3562522265764162</v>
      </c>
      <c r="E17" s="91">
        <v>0</v>
      </c>
      <c r="F17" s="93">
        <v>0.5842536515853225</v>
      </c>
      <c r="G17"/>
      <c r="H17"/>
      <c r="I17"/>
      <c r="J17"/>
      <c r="K17"/>
      <c r="L17"/>
      <c r="M17"/>
      <c r="N17"/>
    </row>
    <row r="18" spans="1:14" ht="20.149999999999999" customHeight="1" x14ac:dyDescent="0.35">
      <c r="A18" s="90" t="s">
        <v>177</v>
      </c>
      <c r="B18" s="91">
        <v>0</v>
      </c>
      <c r="C18" s="91">
        <v>0</v>
      </c>
      <c r="D18" s="91">
        <v>0</v>
      </c>
      <c r="E18" s="91">
        <v>0</v>
      </c>
      <c r="F18" s="93">
        <v>0</v>
      </c>
      <c r="G18"/>
      <c r="H18"/>
      <c r="I18"/>
      <c r="J18"/>
      <c r="K18"/>
      <c r="L18"/>
      <c r="M18"/>
      <c r="N18"/>
    </row>
    <row r="19" spans="1:14" ht="20.149999999999999" customHeight="1" x14ac:dyDescent="0.35">
      <c r="A19" s="90" t="s">
        <v>197</v>
      </c>
      <c r="B19" s="91">
        <v>0</v>
      </c>
      <c r="C19" s="91">
        <v>0</v>
      </c>
      <c r="D19" s="91">
        <v>0</v>
      </c>
      <c r="E19" s="91">
        <v>0</v>
      </c>
      <c r="F19" s="93">
        <v>0</v>
      </c>
      <c r="G19"/>
      <c r="H19"/>
      <c r="I19"/>
      <c r="J19"/>
      <c r="K19"/>
      <c r="L19"/>
      <c r="M19"/>
      <c r="N19"/>
    </row>
    <row r="20" spans="1:14" ht="20.149999999999999" customHeight="1" x14ac:dyDescent="0.35">
      <c r="A20" s="90" t="s">
        <v>194</v>
      </c>
      <c r="B20" s="91">
        <v>346.74266714166964</v>
      </c>
      <c r="C20" s="91">
        <v>235.33938962118515</v>
      </c>
      <c r="D20" s="91">
        <v>218.8493765586035</v>
      </c>
      <c r="E20" s="91">
        <v>120.27312670704194</v>
      </c>
      <c r="F20" s="91">
        <v>921.20456002850028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9C54-4B24-4BCF-9D04-249C042E0364}">
  <dimension ref="A2:O40"/>
  <sheetViews>
    <sheetView showGridLines="0" workbookViewId="0">
      <selection activeCell="E8" sqref="E8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5" ht="20.149999999999999" customHeight="1" x14ac:dyDescent="0.35">
      <c r="A2" s="88" t="s">
        <v>107</v>
      </c>
      <c r="B2" s="87" t="s">
        <v>190</v>
      </c>
    </row>
    <row r="4" spans="1:15" ht="20.149999999999999" hidden="1" customHeight="1" x14ac:dyDescent="0.35">
      <c r="A4" s="86" t="s">
        <v>191</v>
      </c>
      <c r="B4" s="86" t="s">
        <v>192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/>
      <c r="O4"/>
    </row>
    <row r="5" spans="1:15" s="18" customFormat="1" ht="40" customHeight="1" x14ac:dyDescent="0.35">
      <c r="A5" s="96" t="s">
        <v>193</v>
      </c>
      <c r="B5" s="89" t="s">
        <v>32</v>
      </c>
      <c r="C5" s="87" t="s">
        <v>64</v>
      </c>
      <c r="D5" s="89" t="s">
        <v>76</v>
      </c>
      <c r="E5" s="89" t="s">
        <v>61</v>
      </c>
      <c r="F5" s="89" t="s">
        <v>67</v>
      </c>
      <c r="G5" s="89" t="s">
        <v>57</v>
      </c>
      <c r="H5" s="89" t="s">
        <v>23</v>
      </c>
      <c r="I5" s="89" t="s">
        <v>78</v>
      </c>
      <c r="J5" s="87" t="s">
        <v>86</v>
      </c>
      <c r="K5" s="89" t="s">
        <v>48</v>
      </c>
      <c r="L5" s="87" t="s">
        <v>84</v>
      </c>
      <c r="M5" s="89" t="s">
        <v>194</v>
      </c>
      <c r="N5"/>
      <c r="O5"/>
    </row>
    <row r="6" spans="1:15" ht="20.149999999999999" customHeight="1" x14ac:dyDescent="0.35">
      <c r="A6" s="90" t="s">
        <v>103</v>
      </c>
      <c r="B6" s="91">
        <v>211.13881961762263</v>
      </c>
      <c r="C6" s="91">
        <v>0</v>
      </c>
      <c r="D6" s="91">
        <v>14.327277045481535</v>
      </c>
      <c r="E6" s="91">
        <v>0</v>
      </c>
      <c r="F6" s="91">
        <v>0</v>
      </c>
      <c r="G6" s="91">
        <v>0</v>
      </c>
      <c r="H6" s="91">
        <v>0</v>
      </c>
      <c r="I6" s="91">
        <v>3.7703360646004045</v>
      </c>
      <c r="J6" s="91">
        <v>0</v>
      </c>
      <c r="K6" s="91">
        <v>0</v>
      </c>
      <c r="L6" s="91">
        <v>0</v>
      </c>
      <c r="M6" s="93">
        <v>229.23643272770457</v>
      </c>
      <c r="N6"/>
      <c r="O6"/>
    </row>
    <row r="7" spans="1:15" ht="20.149999999999999" customHeight="1" x14ac:dyDescent="0.35">
      <c r="A7" s="90" t="s">
        <v>38</v>
      </c>
      <c r="B7" s="91">
        <v>0</v>
      </c>
      <c r="C7" s="91">
        <v>153.58033487709301</v>
      </c>
      <c r="D7" s="91">
        <v>59.969124807030049</v>
      </c>
      <c r="E7" s="91">
        <v>0</v>
      </c>
      <c r="F7" s="91">
        <v>0</v>
      </c>
      <c r="G7" s="91">
        <v>7.4219213870086698</v>
      </c>
      <c r="H7" s="91">
        <v>0</v>
      </c>
      <c r="I7" s="91">
        <v>0.988006175038594</v>
      </c>
      <c r="J7" s="91">
        <v>0</v>
      </c>
      <c r="K7" s="91">
        <v>0</v>
      </c>
      <c r="L7" s="91">
        <v>0</v>
      </c>
      <c r="M7" s="93">
        <v>221.95938724617031</v>
      </c>
      <c r="N7"/>
      <c r="O7"/>
    </row>
    <row r="8" spans="1:15" ht="20.149999999999999" customHeight="1" x14ac:dyDescent="0.35">
      <c r="A8" s="90" t="s">
        <v>11</v>
      </c>
      <c r="B8" s="91">
        <v>0</v>
      </c>
      <c r="C8" s="91">
        <v>0</v>
      </c>
      <c r="D8" s="91">
        <v>0</v>
      </c>
      <c r="E8" s="91">
        <v>34.770217313858218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91">
        <v>0</v>
      </c>
      <c r="L8" s="91">
        <v>0</v>
      </c>
      <c r="M8" s="93">
        <v>34.770217313858218</v>
      </c>
      <c r="N8"/>
      <c r="O8"/>
    </row>
    <row r="9" spans="1:15" ht="20.149999999999999" customHeight="1" x14ac:dyDescent="0.35">
      <c r="A9" s="92" t="s">
        <v>52</v>
      </c>
      <c r="B9" s="91">
        <v>0</v>
      </c>
      <c r="C9" s="91">
        <v>0</v>
      </c>
      <c r="D9" s="91">
        <v>0</v>
      </c>
      <c r="E9" s="91">
        <v>0</v>
      </c>
      <c r="F9" s="91">
        <v>14.250089063056645</v>
      </c>
      <c r="G9" s="91">
        <v>0</v>
      </c>
      <c r="H9" s="91">
        <v>0</v>
      </c>
      <c r="I9" s="91">
        <v>0</v>
      </c>
      <c r="J9" s="91">
        <v>0</v>
      </c>
      <c r="K9" s="91">
        <v>0</v>
      </c>
      <c r="L9" s="91">
        <v>0</v>
      </c>
      <c r="M9" s="91">
        <v>14.250089063056645</v>
      </c>
      <c r="N9"/>
      <c r="O9"/>
    </row>
    <row r="10" spans="1:15" ht="20.149999999999999" customHeight="1" x14ac:dyDescent="0.35">
      <c r="A10" s="90" t="s">
        <v>66</v>
      </c>
      <c r="B10" s="91">
        <v>0</v>
      </c>
      <c r="C10" s="91">
        <v>0</v>
      </c>
      <c r="D10" s="91">
        <v>10.450065312908206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91">
        <v>0</v>
      </c>
      <c r="L10" s="91">
        <v>0</v>
      </c>
      <c r="M10" s="93">
        <v>10.450065312908206</v>
      </c>
      <c r="N10"/>
      <c r="O10"/>
    </row>
    <row r="11" spans="1:15" ht="20.149999999999999" customHeight="1" x14ac:dyDescent="0.35">
      <c r="A11" s="90" t="s">
        <v>63</v>
      </c>
      <c r="B11" s="91">
        <v>0</v>
      </c>
      <c r="C11" s="91">
        <v>0</v>
      </c>
      <c r="D11" s="91">
        <v>5.2369077306733169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>
        <v>0</v>
      </c>
      <c r="L11" s="91">
        <v>0</v>
      </c>
      <c r="M11" s="93">
        <v>5.2369077306733169</v>
      </c>
      <c r="N11"/>
      <c r="O11"/>
    </row>
    <row r="12" spans="1:15" ht="20.149999999999999" customHeight="1" x14ac:dyDescent="0.35">
      <c r="A12" s="92" t="s">
        <v>30</v>
      </c>
      <c r="B12" s="91">
        <v>0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4.7500296876855481</v>
      </c>
      <c r="I12" s="91">
        <v>0</v>
      </c>
      <c r="J12" s="91">
        <v>0</v>
      </c>
      <c r="K12" s="91">
        <v>0</v>
      </c>
      <c r="L12" s="91">
        <v>0</v>
      </c>
      <c r="M12" s="91">
        <v>4.7500296876855481</v>
      </c>
      <c r="N12"/>
      <c r="O12"/>
    </row>
    <row r="13" spans="1:15" ht="20.149999999999999" customHeight="1" x14ac:dyDescent="0.35">
      <c r="A13" s="92" t="s">
        <v>77</v>
      </c>
      <c r="B13" s="91">
        <v>0</v>
      </c>
      <c r="C13" s="91">
        <v>0</v>
      </c>
      <c r="D13" s="91">
        <v>2.9687685548034679</v>
      </c>
      <c r="E13" s="91">
        <v>0</v>
      </c>
      <c r="F13" s="91">
        <v>0</v>
      </c>
      <c r="G13" s="91">
        <v>0</v>
      </c>
      <c r="H13" s="91">
        <v>0</v>
      </c>
      <c r="I13" s="91">
        <v>0</v>
      </c>
      <c r="J13" s="91">
        <v>0</v>
      </c>
      <c r="K13" s="91">
        <v>0</v>
      </c>
      <c r="L13" s="91">
        <v>0</v>
      </c>
      <c r="M13" s="91">
        <v>2.9687685548034679</v>
      </c>
      <c r="N13"/>
      <c r="O13"/>
    </row>
    <row r="14" spans="1:15" ht="20.149999999999999" customHeight="1" x14ac:dyDescent="0.35">
      <c r="A14" s="90" t="s">
        <v>104</v>
      </c>
      <c r="B14" s="91">
        <v>0</v>
      </c>
      <c r="C14" s="91">
        <v>0</v>
      </c>
      <c r="D14" s="91">
        <v>0</v>
      </c>
      <c r="E14" s="91">
        <v>0</v>
      </c>
      <c r="F14" s="91">
        <v>2.6718916993231212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93">
        <v>2.6718916993231212</v>
      </c>
      <c r="N14"/>
      <c r="O14"/>
    </row>
    <row r="15" spans="1:15" ht="20.149999999999999" customHeight="1" x14ac:dyDescent="0.35">
      <c r="A15" s="92" t="s">
        <v>94</v>
      </c>
      <c r="B15" s="91">
        <v>0</v>
      </c>
      <c r="C15" s="91">
        <v>0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0.62047262795392477</v>
      </c>
      <c r="K15" s="91">
        <v>0</v>
      </c>
      <c r="L15" s="91">
        <v>0</v>
      </c>
      <c r="M15" s="91">
        <v>0.62047262795392477</v>
      </c>
      <c r="N15"/>
      <c r="O15"/>
    </row>
    <row r="16" spans="1:15" ht="20.149999999999999" customHeight="1" x14ac:dyDescent="0.35">
      <c r="A16" s="92" t="s">
        <v>81</v>
      </c>
      <c r="B16" s="91">
        <v>0</v>
      </c>
      <c r="C16" s="91">
        <v>0</v>
      </c>
      <c r="D16" s="91">
        <v>0</v>
      </c>
      <c r="E16" s="91">
        <v>0</v>
      </c>
      <c r="F16" s="91">
        <v>0</v>
      </c>
      <c r="G16" s="91">
        <v>0</v>
      </c>
      <c r="H16" s="91">
        <v>0.2280014250089063</v>
      </c>
      <c r="I16" s="91">
        <v>0</v>
      </c>
      <c r="J16" s="91">
        <v>0</v>
      </c>
      <c r="K16" s="91">
        <v>0.3562522265764162</v>
      </c>
      <c r="L16" s="91">
        <v>0</v>
      </c>
      <c r="M16" s="91">
        <v>0.5842536515853225</v>
      </c>
      <c r="N16"/>
      <c r="O16"/>
    </row>
    <row r="17" spans="1:15" ht="20.149999999999999" customHeight="1" x14ac:dyDescent="0.35">
      <c r="A17" s="90" t="s">
        <v>177</v>
      </c>
      <c r="B17" s="91">
        <v>0</v>
      </c>
      <c r="C17" s="91">
        <v>0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  <c r="L17" s="91">
        <v>0</v>
      </c>
      <c r="M17" s="93">
        <v>0</v>
      </c>
      <c r="N17"/>
      <c r="O17"/>
    </row>
    <row r="18" spans="1:15" ht="20.149999999999999" customHeight="1" x14ac:dyDescent="0.35">
      <c r="A18" s="92" t="s">
        <v>197</v>
      </c>
      <c r="B18" s="91">
        <v>0</v>
      </c>
      <c r="C18" s="91">
        <v>0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/>
      <c r="O18"/>
    </row>
    <row r="19" spans="1:15" ht="20.149999999999999" customHeight="1" x14ac:dyDescent="0.35">
      <c r="A19" s="90" t="s">
        <v>194</v>
      </c>
      <c r="B19" s="91">
        <v>211.13881961762263</v>
      </c>
      <c r="C19" s="91">
        <v>153.58033487709301</v>
      </c>
      <c r="D19" s="91">
        <v>92.952143450896585</v>
      </c>
      <c r="E19" s="91">
        <v>34.770217313858218</v>
      </c>
      <c r="F19" s="91">
        <v>16.921980762379768</v>
      </c>
      <c r="G19" s="91">
        <v>7.4219213870086698</v>
      </c>
      <c r="H19" s="91">
        <v>4.9780311126944543</v>
      </c>
      <c r="I19" s="91">
        <v>4.7583422396389983</v>
      </c>
      <c r="J19" s="91">
        <v>0.62047262795392477</v>
      </c>
      <c r="K19" s="91">
        <v>0.3562522265764162</v>
      </c>
      <c r="L19" s="91">
        <v>0</v>
      </c>
      <c r="M19" s="91">
        <v>527.49851561572257</v>
      </c>
      <c r="N19"/>
      <c r="O19"/>
    </row>
    <row r="20" spans="1:15" ht="20.149999999999999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20.149999999999999" customHeight="1" x14ac:dyDescent="0.35">
      <c r="A21"/>
      <c r="B21"/>
    </row>
    <row r="22" spans="1:15" ht="20.149999999999999" customHeight="1" x14ac:dyDescent="0.35">
      <c r="A22"/>
      <c r="B22"/>
    </row>
    <row r="23" spans="1:15" ht="20.149999999999999" customHeight="1" x14ac:dyDescent="0.35">
      <c r="A23"/>
      <c r="B23"/>
    </row>
    <row r="24" spans="1:15" ht="20.149999999999999" customHeight="1" x14ac:dyDescent="0.35">
      <c r="A24"/>
      <c r="B24"/>
    </row>
    <row r="25" spans="1:15" ht="20.149999999999999" customHeight="1" x14ac:dyDescent="0.35">
      <c r="A25"/>
      <c r="B25"/>
    </row>
    <row r="26" spans="1:15" ht="20.149999999999999" customHeight="1" x14ac:dyDescent="0.35">
      <c r="A26"/>
      <c r="B26"/>
    </row>
    <row r="27" spans="1:15" ht="20.149999999999999" customHeight="1" x14ac:dyDescent="0.35">
      <c r="A27"/>
      <c r="B27"/>
    </row>
    <row r="28" spans="1:15" ht="20.149999999999999" customHeight="1" x14ac:dyDescent="0.35">
      <c r="A28"/>
      <c r="B28"/>
    </row>
    <row r="29" spans="1:15" ht="20.149999999999999" customHeight="1" x14ac:dyDescent="0.35">
      <c r="A29"/>
      <c r="B29"/>
    </row>
    <row r="30" spans="1:15" ht="20.149999999999999" customHeight="1" x14ac:dyDescent="0.35">
      <c r="A30"/>
      <c r="B30"/>
    </row>
    <row r="31" spans="1:15" ht="20.149999999999999" customHeight="1" x14ac:dyDescent="0.35">
      <c r="A31"/>
      <c r="B31"/>
    </row>
    <row r="32" spans="1:15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6E2F-68F7-4CB1-B6B8-D0E5B849EAC6}">
  <dimension ref="A2:N40"/>
  <sheetViews>
    <sheetView showGridLines="0" topLeftCell="A7" workbookViewId="0">
      <selection activeCell="E8" sqref="E8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 s="88" t="s">
        <v>107</v>
      </c>
      <c r="B2" s="87" t="s">
        <v>190</v>
      </c>
    </row>
    <row r="4" spans="1:14" ht="20.149999999999999" hidden="1" customHeight="1" x14ac:dyDescent="0.35">
      <c r="A4" s="86" t="s">
        <v>191</v>
      </c>
      <c r="B4" s="86" t="s">
        <v>192</v>
      </c>
      <c r="C4" s="87"/>
      <c r="D4" s="87"/>
      <c r="E4" s="87"/>
      <c r="F4" s="87"/>
      <c r="G4" s="87"/>
      <c r="H4"/>
      <c r="I4"/>
      <c r="J4"/>
      <c r="K4"/>
      <c r="L4"/>
      <c r="M4"/>
      <c r="N4"/>
    </row>
    <row r="5" spans="1:14" s="18" customFormat="1" ht="40" customHeight="1" x14ac:dyDescent="0.35">
      <c r="A5" s="94" t="s">
        <v>193</v>
      </c>
      <c r="B5" s="95" t="s">
        <v>36</v>
      </c>
      <c r="C5" s="95" t="s">
        <v>55</v>
      </c>
      <c r="D5" s="95" t="s">
        <v>27</v>
      </c>
      <c r="E5" s="95" t="s">
        <v>18</v>
      </c>
      <c r="F5" s="95" t="s">
        <v>59</v>
      </c>
      <c r="G5" s="89" t="s">
        <v>194</v>
      </c>
      <c r="H5" s="19"/>
      <c r="I5" s="19"/>
      <c r="J5" s="19"/>
      <c r="K5" s="19"/>
      <c r="L5" s="19"/>
      <c r="M5" s="19"/>
      <c r="N5" s="20"/>
    </row>
    <row r="6" spans="1:14" ht="20.149999999999999" customHeight="1" x14ac:dyDescent="0.35">
      <c r="A6" s="97" t="s">
        <v>32</v>
      </c>
      <c r="B6" s="91">
        <v>211.13881961762263</v>
      </c>
      <c r="C6" s="91">
        <v>0</v>
      </c>
      <c r="D6" s="91">
        <v>0</v>
      </c>
      <c r="E6" s="91">
        <v>0</v>
      </c>
      <c r="F6" s="91">
        <v>0</v>
      </c>
      <c r="G6" s="93">
        <v>211.13881961762263</v>
      </c>
      <c r="H6"/>
      <c r="I6"/>
      <c r="J6"/>
      <c r="K6"/>
      <c r="L6"/>
      <c r="M6"/>
      <c r="N6"/>
    </row>
    <row r="7" spans="1:14" ht="20.149999999999999" customHeight="1" x14ac:dyDescent="0.35">
      <c r="A7" s="97" t="s">
        <v>57</v>
      </c>
      <c r="B7" s="91">
        <v>86.94639591497446</v>
      </c>
      <c r="C7" s="91">
        <v>96.722479515496971</v>
      </c>
      <c r="D7" s="91">
        <v>0</v>
      </c>
      <c r="E7" s="91">
        <v>0</v>
      </c>
      <c r="F7" s="91">
        <v>0</v>
      </c>
      <c r="G7" s="93">
        <v>183.66887543047142</v>
      </c>
      <c r="H7"/>
      <c r="I7"/>
      <c r="J7"/>
      <c r="K7"/>
      <c r="L7"/>
      <c r="M7"/>
      <c r="N7"/>
    </row>
    <row r="8" spans="1:14" ht="20.149999999999999" customHeight="1" x14ac:dyDescent="0.35">
      <c r="A8" s="92" t="s">
        <v>64</v>
      </c>
      <c r="B8" s="91">
        <v>153.58033487709301</v>
      </c>
      <c r="C8" s="91">
        <v>0</v>
      </c>
      <c r="D8" s="91">
        <v>0</v>
      </c>
      <c r="E8" s="91">
        <v>0</v>
      </c>
      <c r="F8" s="91">
        <v>0</v>
      </c>
      <c r="G8" s="91">
        <v>153.58033487709301</v>
      </c>
      <c r="H8"/>
      <c r="I8"/>
      <c r="J8"/>
      <c r="K8"/>
      <c r="L8"/>
      <c r="M8"/>
      <c r="N8"/>
    </row>
    <row r="9" spans="1:14" ht="20.149999999999999" customHeight="1" x14ac:dyDescent="0.35">
      <c r="A9" s="97" t="s">
        <v>13</v>
      </c>
      <c r="B9" s="91">
        <v>106.87566797292484</v>
      </c>
      <c r="C9" s="91">
        <v>0</v>
      </c>
      <c r="D9" s="91">
        <v>0</v>
      </c>
      <c r="E9" s="91">
        <v>0</v>
      </c>
      <c r="F9" s="91">
        <v>0</v>
      </c>
      <c r="G9" s="93">
        <v>106.87566797292484</v>
      </c>
      <c r="H9"/>
      <c r="I9"/>
      <c r="J9"/>
      <c r="K9"/>
      <c r="L9"/>
      <c r="M9"/>
      <c r="N9"/>
    </row>
    <row r="10" spans="1:14" ht="20.149999999999999" customHeight="1" x14ac:dyDescent="0.35">
      <c r="A10" s="97" t="s">
        <v>76</v>
      </c>
      <c r="B10" s="91">
        <v>10.450065312908206</v>
      </c>
      <c r="C10" s="91">
        <v>0</v>
      </c>
      <c r="D10" s="91">
        <v>59.939437121482015</v>
      </c>
      <c r="E10" s="91">
        <v>22.562641016506355</v>
      </c>
      <c r="F10" s="91">
        <v>0</v>
      </c>
      <c r="G10" s="93">
        <v>92.952143450896585</v>
      </c>
      <c r="H10"/>
      <c r="I10"/>
      <c r="J10"/>
      <c r="K10"/>
      <c r="L10"/>
      <c r="M10"/>
      <c r="N10"/>
    </row>
    <row r="11" spans="1:14" ht="20.149999999999999" customHeight="1" x14ac:dyDescent="0.35">
      <c r="A11" s="97" t="s">
        <v>67</v>
      </c>
      <c r="B11" s="91">
        <v>28.232988956180979</v>
      </c>
      <c r="C11" s="91">
        <v>0</v>
      </c>
      <c r="D11" s="91">
        <v>14.250089063056645</v>
      </c>
      <c r="E11" s="91">
        <v>0</v>
      </c>
      <c r="F11" s="91">
        <v>3.8852867830423947</v>
      </c>
      <c r="G11" s="93">
        <v>46.36836480228002</v>
      </c>
      <c r="H11"/>
      <c r="I11"/>
      <c r="J11"/>
      <c r="K11"/>
      <c r="L11"/>
      <c r="M11"/>
      <c r="N11"/>
    </row>
    <row r="12" spans="1:14" ht="20.149999999999999" customHeight="1" x14ac:dyDescent="0.35">
      <c r="A12" s="97" t="s">
        <v>48</v>
      </c>
      <c r="B12" s="91">
        <v>33.07208170051063</v>
      </c>
      <c r="C12" s="91">
        <v>0</v>
      </c>
      <c r="D12" s="91">
        <v>1.336539603372521</v>
      </c>
      <c r="E12" s="91">
        <v>0.77187982424890156</v>
      </c>
      <c r="F12" s="91">
        <v>0</v>
      </c>
      <c r="G12" s="93">
        <v>35.18050112813205</v>
      </c>
      <c r="H12"/>
      <c r="I12"/>
      <c r="J12"/>
      <c r="K12"/>
      <c r="L12"/>
      <c r="M12"/>
      <c r="N12"/>
    </row>
    <row r="13" spans="1:14" ht="20.149999999999999" customHeight="1" x14ac:dyDescent="0.35">
      <c r="A13" s="97" t="s">
        <v>61</v>
      </c>
      <c r="B13" s="91">
        <v>0</v>
      </c>
      <c r="C13" s="91">
        <v>0</v>
      </c>
      <c r="D13" s="91">
        <v>34.770217313858218</v>
      </c>
      <c r="E13" s="91">
        <v>0</v>
      </c>
      <c r="F13" s="91">
        <v>0</v>
      </c>
      <c r="G13" s="93">
        <v>34.770217313858218</v>
      </c>
      <c r="H13"/>
      <c r="I13"/>
      <c r="J13"/>
      <c r="K13"/>
      <c r="L13"/>
      <c r="M13"/>
      <c r="N13"/>
    </row>
    <row r="14" spans="1:14" ht="20.149999999999999" customHeight="1" x14ac:dyDescent="0.35">
      <c r="A14" s="97" t="s">
        <v>23</v>
      </c>
      <c r="B14" s="91">
        <v>28.50017812611329</v>
      </c>
      <c r="C14" s="91">
        <v>0</v>
      </c>
      <c r="D14" s="91">
        <v>0.2280014250089063</v>
      </c>
      <c r="E14" s="91">
        <v>0</v>
      </c>
      <c r="F14" s="91">
        <v>0</v>
      </c>
      <c r="G14" s="93">
        <v>28.728179551122196</v>
      </c>
      <c r="H14"/>
      <c r="I14"/>
      <c r="J14"/>
      <c r="K14"/>
      <c r="L14"/>
      <c r="M14"/>
      <c r="N14"/>
    </row>
    <row r="15" spans="1:14" ht="20.149999999999999" customHeight="1" x14ac:dyDescent="0.35">
      <c r="A15" s="97" t="s">
        <v>80</v>
      </c>
      <c r="B15" s="91">
        <v>0</v>
      </c>
      <c r="C15" s="91">
        <v>22.562641016506355</v>
      </c>
      <c r="D15" s="91">
        <v>0</v>
      </c>
      <c r="E15" s="91">
        <v>0</v>
      </c>
      <c r="F15" s="91">
        <v>0</v>
      </c>
      <c r="G15" s="93">
        <v>22.562641016506355</v>
      </c>
      <c r="H15"/>
      <c r="I15"/>
      <c r="J15"/>
      <c r="K15"/>
      <c r="L15"/>
      <c r="M15"/>
      <c r="N15"/>
    </row>
    <row r="16" spans="1:14" ht="20.149999999999999" customHeight="1" x14ac:dyDescent="0.35">
      <c r="A16" s="97" t="s">
        <v>78</v>
      </c>
      <c r="B16" s="91">
        <v>0.988006175038594</v>
      </c>
      <c r="C16" s="91">
        <v>0</v>
      </c>
      <c r="D16" s="91">
        <v>3.7703360646004045</v>
      </c>
      <c r="E16" s="91">
        <v>0</v>
      </c>
      <c r="F16" s="91">
        <v>0</v>
      </c>
      <c r="G16" s="93">
        <v>4.7583422396389983</v>
      </c>
      <c r="H16"/>
      <c r="I16"/>
      <c r="J16"/>
      <c r="K16"/>
      <c r="L16"/>
      <c r="M16"/>
      <c r="N16"/>
    </row>
    <row r="17" spans="1:14" ht="20.149999999999999" customHeight="1" x14ac:dyDescent="0.35">
      <c r="A17" s="92" t="s">
        <v>86</v>
      </c>
      <c r="B17" s="91">
        <v>0</v>
      </c>
      <c r="C17" s="91">
        <v>0</v>
      </c>
      <c r="D17" s="91">
        <v>0.62047262795392477</v>
      </c>
      <c r="E17" s="91">
        <v>0</v>
      </c>
      <c r="F17" s="91">
        <v>0</v>
      </c>
      <c r="G17" s="91">
        <v>0.62047262795392477</v>
      </c>
      <c r="H17"/>
      <c r="I17"/>
      <c r="J17"/>
      <c r="K17"/>
      <c r="L17"/>
      <c r="M17"/>
      <c r="N17"/>
    </row>
    <row r="18" spans="1:14" ht="20.149999999999999" customHeight="1" x14ac:dyDescent="0.35">
      <c r="A18" s="92" t="s">
        <v>84</v>
      </c>
      <c r="B18" s="91">
        <v>0</v>
      </c>
      <c r="C18" s="91">
        <v>0</v>
      </c>
      <c r="D18" s="91">
        <v>0</v>
      </c>
      <c r="E18" s="91">
        <v>0</v>
      </c>
      <c r="F18" s="91">
        <v>0</v>
      </c>
      <c r="G18" s="91">
        <v>0</v>
      </c>
      <c r="H18"/>
      <c r="I18"/>
      <c r="J18"/>
      <c r="K18"/>
      <c r="L18"/>
      <c r="M18"/>
      <c r="N18"/>
    </row>
    <row r="19" spans="1:14" ht="20.149999999999999" customHeight="1" x14ac:dyDescent="0.35">
      <c r="A19" s="90" t="s">
        <v>194</v>
      </c>
      <c r="B19" s="91">
        <v>659.78453865336655</v>
      </c>
      <c r="C19" s="91">
        <v>119.28512053200333</v>
      </c>
      <c r="D19" s="91">
        <v>114.91509321933263</v>
      </c>
      <c r="E19" s="91">
        <v>23.334520840755257</v>
      </c>
      <c r="F19" s="91">
        <v>3.8852867830423947</v>
      </c>
      <c r="G19" s="91">
        <v>921.2045600285004</v>
      </c>
      <c r="H19"/>
      <c r="I19"/>
      <c r="J19"/>
      <c r="K19"/>
      <c r="L19"/>
      <c r="M19"/>
      <c r="N19"/>
    </row>
    <row r="20" spans="1:14" ht="20.149999999999999" customHeight="1" x14ac:dyDescent="0.35">
      <c r="A20"/>
      <c r="B20"/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19F9-978B-407B-8112-11EBAF3967D8}">
  <dimension ref="A2:N40"/>
  <sheetViews>
    <sheetView showGridLines="0" workbookViewId="0">
      <selection activeCell="F10" sqref="F10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 s="88" t="s">
        <v>107</v>
      </c>
      <c r="B2" s="87" t="s">
        <v>190</v>
      </c>
    </row>
    <row r="4" spans="1:14" ht="20.149999999999999" hidden="1" customHeight="1" x14ac:dyDescent="0.35">
      <c r="A4" s="86" t="s">
        <v>191</v>
      </c>
      <c r="B4" s="86" t="s">
        <v>192</v>
      </c>
      <c r="C4" s="87"/>
      <c r="D4" s="87"/>
      <c r="E4" s="87"/>
      <c r="F4" s="87"/>
      <c r="G4" s="87"/>
      <c r="H4"/>
      <c r="I4"/>
      <c r="J4"/>
      <c r="K4"/>
      <c r="L4"/>
      <c r="M4"/>
      <c r="N4"/>
    </row>
    <row r="5" spans="1:14" s="18" customFormat="1" ht="40" customHeight="1" x14ac:dyDescent="0.35">
      <c r="A5" s="86" t="s">
        <v>193</v>
      </c>
      <c r="B5" s="95" t="s">
        <v>36</v>
      </c>
      <c r="C5" s="95" t="s">
        <v>55</v>
      </c>
      <c r="D5" s="95" t="s">
        <v>27</v>
      </c>
      <c r="E5" s="95" t="s">
        <v>18</v>
      </c>
      <c r="F5" s="95" t="s">
        <v>59</v>
      </c>
      <c r="G5" s="89" t="s">
        <v>194</v>
      </c>
      <c r="H5" s="19"/>
      <c r="I5" s="19"/>
      <c r="J5" s="19"/>
      <c r="K5" s="19"/>
      <c r="L5" s="19"/>
      <c r="M5" s="19"/>
      <c r="N5" s="20"/>
    </row>
    <row r="6" spans="1:14" ht="20.149999999999999" customHeight="1" x14ac:dyDescent="0.35">
      <c r="A6" s="90" t="s">
        <v>15</v>
      </c>
      <c r="B6" s="91">
        <v>466.53314333214581</v>
      </c>
      <c r="C6" s="91">
        <v>96.722479515496971</v>
      </c>
      <c r="D6" s="91">
        <v>1.5645410283814274</v>
      </c>
      <c r="E6" s="91">
        <v>0.77187982424890156</v>
      </c>
      <c r="F6" s="91">
        <v>0</v>
      </c>
      <c r="G6" s="93">
        <v>565.59204370027305</v>
      </c>
      <c r="H6"/>
      <c r="I6"/>
      <c r="J6"/>
      <c r="K6"/>
      <c r="L6"/>
      <c r="M6"/>
      <c r="N6"/>
    </row>
    <row r="7" spans="1:14" ht="20.149999999999999" customHeight="1" x14ac:dyDescent="0.35">
      <c r="A7" s="90" t="s">
        <v>34</v>
      </c>
      <c r="B7" s="91">
        <v>193.2513953212208</v>
      </c>
      <c r="C7" s="91">
        <v>22.562641016506355</v>
      </c>
      <c r="D7" s="91">
        <v>113.35055219095121</v>
      </c>
      <c r="E7" s="91">
        <v>22.562641016506355</v>
      </c>
      <c r="F7" s="91">
        <v>3.8852867830423947</v>
      </c>
      <c r="G7" s="93">
        <v>355.61251632822706</v>
      </c>
      <c r="H7"/>
      <c r="I7"/>
      <c r="J7"/>
      <c r="K7"/>
      <c r="L7"/>
      <c r="M7"/>
      <c r="N7"/>
    </row>
    <row r="8" spans="1:14" ht="20.149999999999999" customHeight="1" x14ac:dyDescent="0.35">
      <c r="A8" s="90" t="s">
        <v>194</v>
      </c>
      <c r="B8" s="91">
        <v>659.78453865336655</v>
      </c>
      <c r="C8" s="91">
        <v>119.28512053200333</v>
      </c>
      <c r="D8" s="91">
        <v>114.91509321933263</v>
      </c>
      <c r="E8" s="91">
        <v>23.334520840755257</v>
      </c>
      <c r="F8" s="91">
        <v>3.8852867830423947</v>
      </c>
      <c r="G8" s="91">
        <v>921.20456002850005</v>
      </c>
      <c r="H8"/>
      <c r="I8"/>
      <c r="J8"/>
      <c r="K8"/>
      <c r="L8"/>
      <c r="M8"/>
      <c r="N8"/>
    </row>
    <row r="9" spans="1:14" ht="20.149999999999999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20.149999999999999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20.149999999999999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20.149999999999999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20.149999999999999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20.149999999999999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ht="20.149999999999999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0.149999999999999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20.149999999999999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20.149999999999999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0.149999999999999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20.149999999999999" customHeight="1" x14ac:dyDescent="0.35">
      <c r="A20"/>
      <c r="B20"/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319B-5F15-46EE-811A-D341B274ABF8}">
  <dimension ref="A2:N40"/>
  <sheetViews>
    <sheetView showGridLines="0" topLeftCell="A5" workbookViewId="0">
      <selection activeCell="D8" sqref="D8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/>
      <c r="B2"/>
    </row>
    <row r="4" spans="1:14" ht="20.149999999999999" hidden="1" customHeight="1" x14ac:dyDescent="0.35">
      <c r="A4" s="86" t="s">
        <v>191</v>
      </c>
      <c r="B4" s="86" t="s">
        <v>192</v>
      </c>
      <c r="C4" s="87"/>
      <c r="D4" s="87"/>
      <c r="E4" s="87"/>
      <c r="F4" s="87"/>
      <c r="G4" s="87"/>
      <c r="H4"/>
      <c r="I4"/>
      <c r="J4"/>
      <c r="K4"/>
      <c r="L4"/>
      <c r="M4"/>
      <c r="N4"/>
    </row>
    <row r="5" spans="1:14" s="18" customFormat="1" ht="40" customHeight="1" x14ac:dyDescent="0.35">
      <c r="A5" s="88" t="s">
        <v>193</v>
      </c>
      <c r="B5" s="95" t="s">
        <v>36</v>
      </c>
      <c r="C5" s="95" t="s">
        <v>55</v>
      </c>
      <c r="D5" s="95" t="s">
        <v>27</v>
      </c>
      <c r="E5" s="95" t="s">
        <v>18</v>
      </c>
      <c r="F5" s="95" t="s">
        <v>59</v>
      </c>
      <c r="G5" s="89" t="s">
        <v>194</v>
      </c>
      <c r="H5" s="19"/>
      <c r="I5" s="19"/>
      <c r="J5" s="19"/>
      <c r="K5" s="19"/>
      <c r="L5" s="19"/>
      <c r="M5" s="19"/>
      <c r="N5" s="20"/>
    </row>
    <row r="6" spans="1:14" ht="20.149999999999999" customHeight="1" x14ac:dyDescent="0.35">
      <c r="A6" s="90" t="s">
        <v>62</v>
      </c>
      <c r="B6" s="91">
        <v>268.78346989668688</v>
      </c>
      <c r="C6" s="91">
        <v>119.28512053200333</v>
      </c>
      <c r="D6" s="91">
        <v>0.98028737679610489</v>
      </c>
      <c r="E6" s="91">
        <v>0.77187982424890156</v>
      </c>
      <c r="F6" s="91">
        <v>0</v>
      </c>
      <c r="G6" s="93">
        <v>389.82075762973523</v>
      </c>
      <c r="H6"/>
      <c r="I6"/>
      <c r="J6"/>
      <c r="K6"/>
      <c r="L6"/>
      <c r="M6"/>
      <c r="N6"/>
    </row>
    <row r="7" spans="1:14" ht="20.149999999999999" customHeight="1" x14ac:dyDescent="0.35">
      <c r="A7" s="90" t="s">
        <v>35</v>
      </c>
      <c r="B7" s="91">
        <v>211.13881961762263</v>
      </c>
      <c r="C7" s="91">
        <v>0</v>
      </c>
      <c r="D7" s="91">
        <v>23.334520840755257</v>
      </c>
      <c r="E7" s="91">
        <v>0</v>
      </c>
      <c r="F7" s="91">
        <v>0</v>
      </c>
      <c r="G7" s="93">
        <v>234.47334045837789</v>
      </c>
      <c r="H7"/>
      <c r="I7"/>
      <c r="J7"/>
      <c r="K7"/>
      <c r="L7"/>
      <c r="M7"/>
      <c r="N7"/>
    </row>
    <row r="8" spans="1:14" ht="20.149999999999999" customHeight="1" x14ac:dyDescent="0.35">
      <c r="A8" s="90" t="s">
        <v>54</v>
      </c>
      <c r="B8" s="91">
        <v>129.83018643866527</v>
      </c>
      <c r="C8" s="91">
        <v>0</v>
      </c>
      <c r="D8" s="91">
        <v>37.990737442109015</v>
      </c>
      <c r="E8" s="91">
        <v>0</v>
      </c>
      <c r="F8" s="91">
        <v>0</v>
      </c>
      <c r="G8" s="93">
        <v>167.82092388077427</v>
      </c>
      <c r="H8"/>
      <c r="I8"/>
      <c r="J8"/>
      <c r="K8"/>
      <c r="L8"/>
      <c r="M8"/>
      <c r="N8"/>
    </row>
    <row r="9" spans="1:14" ht="20.149999999999999" customHeight="1" x14ac:dyDescent="0.35">
      <c r="A9" s="90" t="s">
        <v>50</v>
      </c>
      <c r="B9" s="91">
        <v>10.450065312908206</v>
      </c>
      <c r="C9" s="91">
        <v>0</v>
      </c>
      <c r="D9" s="91">
        <v>17.83933024581404</v>
      </c>
      <c r="E9" s="91">
        <v>22.562641016506355</v>
      </c>
      <c r="F9" s="91">
        <v>0</v>
      </c>
      <c r="G9" s="93">
        <v>50.852036575228603</v>
      </c>
      <c r="H9"/>
      <c r="I9"/>
      <c r="J9"/>
      <c r="K9"/>
      <c r="L9"/>
      <c r="M9"/>
      <c r="N9"/>
    </row>
    <row r="10" spans="1:14" ht="20.149999999999999" customHeight="1" x14ac:dyDescent="0.35">
      <c r="A10" s="90" t="s">
        <v>43</v>
      </c>
      <c r="B10" s="91">
        <v>10.093813086331791</v>
      </c>
      <c r="C10" s="91">
        <v>0</v>
      </c>
      <c r="D10" s="91">
        <v>34.770217313858218</v>
      </c>
      <c r="E10" s="91">
        <v>0</v>
      </c>
      <c r="F10" s="91">
        <v>0</v>
      </c>
      <c r="G10" s="93">
        <v>44.864030400190011</v>
      </c>
      <c r="H10"/>
      <c r="I10"/>
      <c r="J10"/>
      <c r="K10"/>
      <c r="L10"/>
      <c r="M10"/>
      <c r="N10"/>
    </row>
    <row r="11" spans="1:14" ht="20.149999999999999" customHeight="1" x14ac:dyDescent="0.35">
      <c r="A11" s="90" t="s">
        <v>16</v>
      </c>
      <c r="B11" s="91">
        <v>28.50017812611329</v>
      </c>
      <c r="C11" s="91">
        <v>0</v>
      </c>
      <c r="D11" s="91">
        <v>0</v>
      </c>
      <c r="E11" s="91">
        <v>0</v>
      </c>
      <c r="F11" s="91">
        <v>0</v>
      </c>
      <c r="G11" s="93">
        <v>28.50017812611329</v>
      </c>
      <c r="H11"/>
      <c r="I11"/>
      <c r="J11"/>
      <c r="K11"/>
      <c r="L11"/>
      <c r="M11"/>
      <c r="N11"/>
    </row>
    <row r="12" spans="1:14" ht="20.149999999999999" customHeight="1" x14ac:dyDescent="0.35">
      <c r="A12" s="90" t="s">
        <v>58</v>
      </c>
      <c r="B12" s="91">
        <v>0</v>
      </c>
      <c r="C12" s="91">
        <v>0</v>
      </c>
      <c r="D12" s="91">
        <v>0</v>
      </c>
      <c r="E12" s="91">
        <v>0</v>
      </c>
      <c r="F12" s="91">
        <v>3.8852867830423947</v>
      </c>
      <c r="G12" s="93">
        <v>3.8852867830423947</v>
      </c>
      <c r="H12"/>
      <c r="I12"/>
      <c r="J12"/>
      <c r="K12"/>
      <c r="L12"/>
      <c r="M12"/>
      <c r="N12"/>
    </row>
    <row r="13" spans="1:14" ht="20.149999999999999" customHeight="1" x14ac:dyDescent="0.35">
      <c r="A13" s="90" t="s">
        <v>26</v>
      </c>
      <c r="B13" s="91">
        <v>0.988006175038594</v>
      </c>
      <c r="C13" s="91">
        <v>0</v>
      </c>
      <c r="D13" s="91">
        <v>0</v>
      </c>
      <c r="E13" s="91">
        <v>0</v>
      </c>
      <c r="F13" s="91">
        <v>0</v>
      </c>
      <c r="G13" s="93">
        <v>0.988006175038594</v>
      </c>
      <c r="H13"/>
      <c r="I13"/>
      <c r="J13"/>
      <c r="K13"/>
      <c r="L13"/>
      <c r="M13"/>
      <c r="N13"/>
    </row>
    <row r="14" spans="1:14" ht="20.149999999999999" customHeight="1" x14ac:dyDescent="0.35">
      <c r="A14" s="90" t="s">
        <v>194</v>
      </c>
      <c r="B14" s="91">
        <v>659.78453865336655</v>
      </c>
      <c r="C14" s="91">
        <v>119.28512053200333</v>
      </c>
      <c r="D14" s="91">
        <v>114.91509321933262</v>
      </c>
      <c r="E14" s="91">
        <v>23.334520840755257</v>
      </c>
      <c r="F14" s="91">
        <v>3.8852867830423947</v>
      </c>
      <c r="G14" s="91">
        <v>921.20456002850028</v>
      </c>
      <c r="H14"/>
      <c r="I14"/>
      <c r="J14"/>
      <c r="K14"/>
      <c r="L14"/>
      <c r="M14"/>
      <c r="N14"/>
    </row>
    <row r="15" spans="1:14" ht="20.149999999999999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0.149999999999999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20.149999999999999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20.149999999999999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0.149999999999999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20.149999999999999" customHeight="1" x14ac:dyDescent="0.35">
      <c r="A20"/>
      <c r="B20"/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401-5BF3-4F77-B41C-680254C42888}">
  <dimension ref="A2:N40"/>
  <sheetViews>
    <sheetView showGridLines="0" workbookViewId="0">
      <selection activeCell="L10" sqref="L10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/>
      <c r="B2"/>
    </row>
    <row r="4" spans="1:14" ht="20.149999999999999" hidden="1" customHeight="1" x14ac:dyDescent="0.35">
      <c r="A4" s="86" t="s">
        <v>191</v>
      </c>
      <c r="B4" s="88" t="s">
        <v>192</v>
      </c>
      <c r="C4" s="87"/>
      <c r="D4" s="87"/>
      <c r="E4" s="87"/>
      <c r="F4" s="87"/>
      <c r="G4" s="87"/>
      <c r="H4" s="87"/>
      <c r="I4" s="87"/>
      <c r="J4" s="87"/>
      <c r="K4"/>
      <c r="L4"/>
      <c r="M4"/>
      <c r="N4"/>
    </row>
    <row r="5" spans="1:14" s="18" customFormat="1" ht="40" customHeight="1" x14ac:dyDescent="0.35">
      <c r="A5" s="96" t="s">
        <v>193</v>
      </c>
      <c r="B5" s="95" t="s">
        <v>62</v>
      </c>
      <c r="C5" s="95" t="s">
        <v>35</v>
      </c>
      <c r="D5" s="95" t="s">
        <v>54</v>
      </c>
      <c r="E5" s="95" t="s">
        <v>50</v>
      </c>
      <c r="F5" s="95" t="s">
        <v>43</v>
      </c>
      <c r="G5" s="95" t="s">
        <v>16</v>
      </c>
      <c r="H5" s="95" t="s">
        <v>58</v>
      </c>
      <c r="I5" s="95" t="s">
        <v>26</v>
      </c>
      <c r="J5" s="89" t="s">
        <v>194</v>
      </c>
      <c r="K5" s="19"/>
      <c r="L5" s="19"/>
      <c r="M5" s="19"/>
      <c r="N5" s="20"/>
    </row>
    <row r="6" spans="1:14" ht="20.149999999999999" customHeight="1" x14ac:dyDescent="0.35">
      <c r="A6" s="90" t="s">
        <v>38</v>
      </c>
      <c r="B6" s="91">
        <v>176.24695404346278</v>
      </c>
      <c r="C6" s="91">
        <v>0</v>
      </c>
      <c r="D6" s="91">
        <v>167.23667022918897</v>
      </c>
      <c r="E6" s="91">
        <v>22.562641016506355</v>
      </c>
      <c r="F6" s="91">
        <v>7.4219213870086698</v>
      </c>
      <c r="G6" s="91">
        <v>23.750148438427743</v>
      </c>
      <c r="H6" s="91">
        <v>0</v>
      </c>
      <c r="I6" s="91">
        <v>0.988006175038594</v>
      </c>
      <c r="J6" s="93">
        <v>398.20634128963309</v>
      </c>
      <c r="K6"/>
      <c r="L6"/>
      <c r="M6"/>
      <c r="N6"/>
    </row>
    <row r="7" spans="1:14" ht="20.149999999999999" customHeight="1" x14ac:dyDescent="0.35">
      <c r="A7" s="90" t="s">
        <v>103</v>
      </c>
      <c r="B7" s="91">
        <v>0.98028737679610489</v>
      </c>
      <c r="C7" s="91">
        <v>229.23643272770457</v>
      </c>
      <c r="D7" s="91">
        <v>0</v>
      </c>
      <c r="E7" s="91">
        <v>0</v>
      </c>
      <c r="F7" s="91">
        <v>0</v>
      </c>
      <c r="G7" s="91">
        <v>0</v>
      </c>
      <c r="H7" s="91">
        <v>0</v>
      </c>
      <c r="I7" s="91">
        <v>0</v>
      </c>
      <c r="J7" s="93">
        <v>230.21672010450067</v>
      </c>
      <c r="K7"/>
      <c r="L7"/>
      <c r="M7"/>
      <c r="N7"/>
    </row>
    <row r="8" spans="1:14" ht="20.149999999999999" customHeight="1" x14ac:dyDescent="0.35">
      <c r="A8" s="90" t="s">
        <v>11</v>
      </c>
      <c r="B8" s="91">
        <v>128.54767842299017</v>
      </c>
      <c r="C8" s="91">
        <v>0</v>
      </c>
      <c r="D8" s="91">
        <v>0</v>
      </c>
      <c r="E8" s="91">
        <v>0</v>
      </c>
      <c r="F8" s="91">
        <v>34.770217313858218</v>
      </c>
      <c r="G8" s="91">
        <v>0</v>
      </c>
      <c r="H8" s="91">
        <v>0</v>
      </c>
      <c r="I8" s="91">
        <v>0</v>
      </c>
      <c r="J8" s="93">
        <v>163.31789573684839</v>
      </c>
      <c r="K8"/>
      <c r="L8"/>
      <c r="M8"/>
      <c r="N8"/>
    </row>
    <row r="9" spans="1:14" ht="20.149999999999999" customHeight="1" x14ac:dyDescent="0.35">
      <c r="A9" s="90" t="s">
        <v>66</v>
      </c>
      <c r="B9" s="91">
        <v>61.483196769979813</v>
      </c>
      <c r="C9" s="91">
        <v>0</v>
      </c>
      <c r="D9" s="91">
        <v>0</v>
      </c>
      <c r="E9" s="91">
        <v>10.450065312908206</v>
      </c>
      <c r="F9" s="91">
        <v>0</v>
      </c>
      <c r="G9" s="91">
        <v>0</v>
      </c>
      <c r="H9" s="91">
        <v>0</v>
      </c>
      <c r="I9" s="91">
        <v>0</v>
      </c>
      <c r="J9" s="93">
        <v>71.933262082888021</v>
      </c>
      <c r="K9"/>
      <c r="L9"/>
      <c r="M9"/>
      <c r="N9"/>
    </row>
    <row r="10" spans="1:14" ht="20.149999999999999" customHeight="1" x14ac:dyDescent="0.35">
      <c r="A10" s="90" t="s">
        <v>73</v>
      </c>
      <c r="B10" s="91">
        <v>22.562641016506355</v>
      </c>
      <c r="C10" s="91">
        <v>0</v>
      </c>
      <c r="D10" s="91">
        <v>0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3">
        <v>22.562641016506355</v>
      </c>
      <c r="K10"/>
      <c r="L10"/>
      <c r="M10"/>
      <c r="N10"/>
    </row>
    <row r="11" spans="1:14" ht="20.149999999999999" customHeight="1" x14ac:dyDescent="0.35">
      <c r="A11" s="92" t="s">
        <v>52</v>
      </c>
      <c r="B11" s="91">
        <v>0</v>
      </c>
      <c r="C11" s="91">
        <v>0</v>
      </c>
      <c r="D11" s="91">
        <v>0</v>
      </c>
      <c r="E11" s="91">
        <v>14.250089063056645</v>
      </c>
      <c r="F11" s="91">
        <v>0</v>
      </c>
      <c r="G11" s="91">
        <v>0</v>
      </c>
      <c r="H11" s="91">
        <v>0</v>
      </c>
      <c r="I11" s="91">
        <v>0</v>
      </c>
      <c r="J11" s="91">
        <v>14.250089063056645</v>
      </c>
      <c r="K11"/>
      <c r="L11"/>
      <c r="M11"/>
      <c r="N11"/>
    </row>
    <row r="12" spans="1:14" ht="20.149999999999999" customHeight="1" x14ac:dyDescent="0.35">
      <c r="A12" s="90" t="s">
        <v>63</v>
      </c>
      <c r="B12" s="91">
        <v>0</v>
      </c>
      <c r="C12" s="91">
        <v>5.2369077306733169</v>
      </c>
      <c r="D12" s="91">
        <v>0</v>
      </c>
      <c r="E12" s="91">
        <v>0</v>
      </c>
      <c r="F12" s="91">
        <v>0</v>
      </c>
      <c r="G12" s="91">
        <v>0</v>
      </c>
      <c r="H12" s="91">
        <v>3.8852867830423947</v>
      </c>
      <c r="I12" s="91">
        <v>0</v>
      </c>
      <c r="J12" s="93">
        <v>9.1221945137157121</v>
      </c>
      <c r="K12"/>
      <c r="L12"/>
      <c r="M12"/>
      <c r="N12"/>
    </row>
    <row r="13" spans="1:14" ht="20.149999999999999" customHeight="1" x14ac:dyDescent="0.35">
      <c r="A13" s="92" t="s">
        <v>30</v>
      </c>
      <c r="B13" s="91">
        <v>0</v>
      </c>
      <c r="C13" s="91">
        <v>0</v>
      </c>
      <c r="D13" s="91">
        <v>0</v>
      </c>
      <c r="E13" s="91">
        <v>0</v>
      </c>
      <c r="F13" s="91">
        <v>0</v>
      </c>
      <c r="G13" s="91">
        <v>4.7500296876855481</v>
      </c>
      <c r="H13" s="91">
        <v>0</v>
      </c>
      <c r="I13" s="91">
        <v>0</v>
      </c>
      <c r="J13" s="91">
        <v>4.7500296876855481</v>
      </c>
      <c r="K13"/>
      <c r="L13"/>
      <c r="M13"/>
      <c r="N13"/>
    </row>
    <row r="14" spans="1:14" ht="20.149999999999999" customHeight="1" x14ac:dyDescent="0.35">
      <c r="A14" s="92" t="s">
        <v>77</v>
      </c>
      <c r="B14" s="91">
        <v>0</v>
      </c>
      <c r="C14" s="91">
        <v>0</v>
      </c>
      <c r="D14" s="91">
        <v>0</v>
      </c>
      <c r="E14" s="91">
        <v>2.9687685548034679</v>
      </c>
      <c r="F14" s="91">
        <v>0</v>
      </c>
      <c r="G14" s="91">
        <v>0</v>
      </c>
      <c r="H14" s="91">
        <v>0</v>
      </c>
      <c r="I14" s="91">
        <v>0</v>
      </c>
      <c r="J14" s="91">
        <v>2.9687685548034679</v>
      </c>
      <c r="K14"/>
      <c r="L14"/>
      <c r="M14"/>
      <c r="N14"/>
    </row>
    <row r="15" spans="1:14" ht="20.149999999999999" customHeight="1" x14ac:dyDescent="0.35">
      <c r="A15" s="90" t="s">
        <v>104</v>
      </c>
      <c r="B15" s="91">
        <v>0</v>
      </c>
      <c r="C15" s="91">
        <v>0</v>
      </c>
      <c r="D15" s="91">
        <v>0</v>
      </c>
      <c r="E15" s="91">
        <v>0</v>
      </c>
      <c r="F15" s="91">
        <v>2.6718916993231212</v>
      </c>
      <c r="G15" s="91">
        <v>0</v>
      </c>
      <c r="H15" s="91">
        <v>0</v>
      </c>
      <c r="I15" s="91">
        <v>0</v>
      </c>
      <c r="J15" s="93">
        <v>2.6718916993231212</v>
      </c>
      <c r="K15"/>
      <c r="L15"/>
      <c r="M15"/>
      <c r="N15"/>
    </row>
    <row r="16" spans="1:14" ht="20.149999999999999" customHeight="1" x14ac:dyDescent="0.35">
      <c r="A16" s="92" t="s">
        <v>94</v>
      </c>
      <c r="B16" s="91">
        <v>0</v>
      </c>
      <c r="C16" s="91">
        <v>0</v>
      </c>
      <c r="D16" s="91">
        <v>0</v>
      </c>
      <c r="E16" s="91">
        <v>0.62047262795392477</v>
      </c>
      <c r="F16" s="91">
        <v>0</v>
      </c>
      <c r="G16" s="91">
        <v>0</v>
      </c>
      <c r="H16" s="91">
        <v>0</v>
      </c>
      <c r="I16" s="91">
        <v>0</v>
      </c>
      <c r="J16" s="91">
        <v>0.62047262795392477</v>
      </c>
      <c r="K16"/>
      <c r="L16"/>
      <c r="M16"/>
      <c r="N16"/>
    </row>
    <row r="17" spans="1:14" ht="20.149999999999999" customHeight="1" x14ac:dyDescent="0.35">
      <c r="A17" s="92" t="s">
        <v>81</v>
      </c>
      <c r="B17" s="91">
        <v>0</v>
      </c>
      <c r="C17" s="91">
        <v>0</v>
      </c>
      <c r="D17" s="91">
        <v>0.5842536515853225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0.5842536515853225</v>
      </c>
      <c r="K17"/>
      <c r="L17"/>
      <c r="M17"/>
      <c r="N17"/>
    </row>
    <row r="18" spans="1:14" ht="20.149999999999999" customHeight="1" x14ac:dyDescent="0.35">
      <c r="A18" s="90" t="s">
        <v>177</v>
      </c>
      <c r="B18" s="91">
        <v>0</v>
      </c>
      <c r="C18" s="91">
        <v>0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3">
        <v>0</v>
      </c>
      <c r="K18"/>
      <c r="L18"/>
      <c r="M18"/>
      <c r="N18"/>
    </row>
    <row r="19" spans="1:14" ht="20.149999999999999" customHeight="1" x14ac:dyDescent="0.35">
      <c r="A19" s="92" t="s">
        <v>197</v>
      </c>
      <c r="B19" s="91">
        <v>0</v>
      </c>
      <c r="C19" s="91">
        <v>0</v>
      </c>
      <c r="D19" s="91">
        <v>0</v>
      </c>
      <c r="E19" s="91">
        <v>0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/>
      <c r="L19"/>
      <c r="M19"/>
      <c r="N19"/>
    </row>
    <row r="20" spans="1:14" ht="20.149999999999999" customHeight="1" x14ac:dyDescent="0.35">
      <c r="A20" s="90" t="s">
        <v>194</v>
      </c>
      <c r="B20" s="91">
        <v>389.82075762973528</v>
      </c>
      <c r="C20" s="91">
        <v>234.47334045837789</v>
      </c>
      <c r="D20" s="91">
        <v>167.8209238807743</v>
      </c>
      <c r="E20" s="91">
        <v>50.852036575228595</v>
      </c>
      <c r="F20" s="91">
        <v>44.864030400190011</v>
      </c>
      <c r="G20" s="91">
        <v>28.50017812611329</v>
      </c>
      <c r="H20" s="91">
        <v>3.8852867830423947</v>
      </c>
      <c r="I20" s="91">
        <v>0.988006175038594</v>
      </c>
      <c r="J20" s="91">
        <v>921.20456002850028</v>
      </c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E97D-0636-44F9-8C30-AE4A7FBDCEC5}">
  <dimension ref="A2:N36"/>
  <sheetViews>
    <sheetView showGridLines="0" workbookViewId="0"/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hidden="1" customHeight="1" x14ac:dyDescent="0.35">
      <c r="A2" s="86" t="s">
        <v>191</v>
      </c>
      <c r="B2" s="88" t="s">
        <v>192</v>
      </c>
      <c r="C2" s="87"/>
      <c r="D2" s="87"/>
      <c r="E2" s="87"/>
      <c r="F2" s="87"/>
      <c r="G2" s="87"/>
      <c r="H2" s="87"/>
      <c r="I2" s="87"/>
      <c r="J2" s="87"/>
      <c r="K2"/>
      <c r="L2"/>
      <c r="M2"/>
      <c r="N2"/>
    </row>
    <row r="3" spans="1:14" s="18" customFormat="1" ht="40" customHeight="1" x14ac:dyDescent="0.35">
      <c r="A3" s="86" t="s">
        <v>193</v>
      </c>
      <c r="B3" s="95" t="s">
        <v>62</v>
      </c>
      <c r="C3" s="95" t="s">
        <v>35</v>
      </c>
      <c r="D3" s="95" t="s">
        <v>54</v>
      </c>
      <c r="E3" s="95" t="s">
        <v>50</v>
      </c>
      <c r="F3" s="95" t="s">
        <v>43</v>
      </c>
      <c r="G3" s="95" t="s">
        <v>16</v>
      </c>
      <c r="H3" s="95" t="s">
        <v>58</v>
      </c>
      <c r="I3" s="95" t="s">
        <v>26</v>
      </c>
      <c r="J3" s="89" t="s">
        <v>194</v>
      </c>
      <c r="K3" s="19"/>
      <c r="L3" s="19"/>
      <c r="M3" s="19"/>
      <c r="N3" s="20"/>
    </row>
    <row r="4" spans="1:14" ht="20.149999999999999" customHeight="1" x14ac:dyDescent="0.35">
      <c r="A4" s="90" t="s">
        <v>28</v>
      </c>
      <c r="B4" s="91">
        <v>62.463484146775919</v>
      </c>
      <c r="C4" s="91">
        <v>234.47334045837789</v>
      </c>
      <c r="D4" s="91">
        <v>167.23667022918897</v>
      </c>
      <c r="E4" s="91">
        <v>47.883268020425128</v>
      </c>
      <c r="F4" s="91">
        <v>0</v>
      </c>
      <c r="G4" s="91">
        <v>23.750148438427743</v>
      </c>
      <c r="H4" s="91">
        <v>3.8852867830423947</v>
      </c>
      <c r="I4" s="91">
        <v>0.988006175038594</v>
      </c>
      <c r="J4" s="91">
        <v>540.68020425127668</v>
      </c>
      <c r="K4"/>
      <c r="L4"/>
      <c r="M4"/>
      <c r="N4"/>
    </row>
    <row r="5" spans="1:14" ht="20.149999999999999" customHeight="1" x14ac:dyDescent="0.35">
      <c r="A5" s="90" t="s">
        <v>37</v>
      </c>
      <c r="B5" s="91">
        <v>198.80959505996913</v>
      </c>
      <c r="C5" s="91">
        <v>0</v>
      </c>
      <c r="D5" s="91">
        <v>0.5842536515853225</v>
      </c>
      <c r="E5" s="91">
        <v>2.9687685548034679</v>
      </c>
      <c r="F5" s="91">
        <v>7.4219213870086698</v>
      </c>
      <c r="G5" s="91">
        <v>4.7500296876855481</v>
      </c>
      <c r="H5" s="91">
        <v>0</v>
      </c>
      <c r="I5" s="91">
        <v>0</v>
      </c>
      <c r="J5" s="91">
        <v>214.53456834105214</v>
      </c>
      <c r="K5"/>
      <c r="L5"/>
      <c r="M5"/>
      <c r="N5"/>
    </row>
    <row r="6" spans="1:14" ht="20.149999999999999" customHeight="1" x14ac:dyDescent="0.35">
      <c r="A6" s="90" t="s">
        <v>19</v>
      </c>
      <c r="B6" s="91">
        <v>128.54767842299017</v>
      </c>
      <c r="C6" s="91">
        <v>0</v>
      </c>
      <c r="D6" s="91">
        <v>0</v>
      </c>
      <c r="E6" s="91">
        <v>0</v>
      </c>
      <c r="F6" s="91">
        <v>34.770217313858218</v>
      </c>
      <c r="G6" s="91">
        <v>0</v>
      </c>
      <c r="H6" s="91">
        <v>0</v>
      </c>
      <c r="I6" s="91">
        <v>0</v>
      </c>
      <c r="J6" s="91">
        <v>163.31789573684839</v>
      </c>
      <c r="K6"/>
      <c r="L6"/>
      <c r="M6"/>
      <c r="N6"/>
    </row>
    <row r="7" spans="1:14" ht="20.149999999999999" customHeight="1" x14ac:dyDescent="0.35">
      <c r="A7" s="90" t="s">
        <v>45</v>
      </c>
      <c r="B7" s="91">
        <v>0</v>
      </c>
      <c r="C7" s="91">
        <v>0</v>
      </c>
      <c r="D7" s="91">
        <v>0</v>
      </c>
      <c r="E7" s="91">
        <v>0</v>
      </c>
      <c r="F7" s="91">
        <v>2.6718916993231212</v>
      </c>
      <c r="G7" s="91">
        <v>0</v>
      </c>
      <c r="H7" s="91">
        <v>0</v>
      </c>
      <c r="I7" s="91">
        <v>0</v>
      </c>
      <c r="J7" s="91">
        <v>2.6718916993231212</v>
      </c>
      <c r="K7"/>
      <c r="L7"/>
      <c r="M7"/>
      <c r="N7"/>
    </row>
    <row r="8" spans="1:14" ht="20.149999999999999" customHeight="1" x14ac:dyDescent="0.35">
      <c r="A8" s="90" t="s">
        <v>194</v>
      </c>
      <c r="B8" s="91">
        <v>389.82075762973523</v>
      </c>
      <c r="C8" s="91">
        <v>234.47334045837789</v>
      </c>
      <c r="D8" s="91">
        <v>167.8209238807743</v>
      </c>
      <c r="E8" s="91">
        <v>50.852036575228595</v>
      </c>
      <c r="F8" s="91">
        <v>44.864030400190003</v>
      </c>
      <c r="G8" s="91">
        <v>28.50017812611329</v>
      </c>
      <c r="H8" s="91">
        <v>3.8852867830423947</v>
      </c>
      <c r="I8" s="91">
        <v>0.988006175038594</v>
      </c>
      <c r="J8" s="91">
        <v>921.2045600285004</v>
      </c>
      <c r="K8"/>
      <c r="L8"/>
      <c r="M8"/>
      <c r="N8"/>
    </row>
    <row r="9" spans="1:14" ht="20.149999999999999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20.149999999999999" hidden="1" customHeight="1" x14ac:dyDescent="0.35">
      <c r="A10" s="86" t="s">
        <v>191</v>
      </c>
      <c r="B10" s="88" t="s">
        <v>192</v>
      </c>
      <c r="C10" s="87"/>
      <c r="D10" s="87"/>
      <c r="E10" s="87"/>
      <c r="F10" s="87"/>
      <c r="G10" s="87"/>
      <c r="H10" s="87"/>
      <c r="I10" s="87"/>
      <c r="J10" s="87"/>
      <c r="K10"/>
      <c r="L10"/>
      <c r="M10"/>
      <c r="N10"/>
    </row>
    <row r="11" spans="1:14" s="18" customFormat="1" ht="40" customHeight="1" x14ac:dyDescent="0.35">
      <c r="A11" s="86" t="s">
        <v>193</v>
      </c>
      <c r="B11" s="95" t="s">
        <v>62</v>
      </c>
      <c r="C11" s="95" t="s">
        <v>35</v>
      </c>
      <c r="D11" s="95" t="s">
        <v>54</v>
      </c>
      <c r="E11" s="95" t="s">
        <v>50</v>
      </c>
      <c r="F11" s="95" t="s">
        <v>43</v>
      </c>
      <c r="G11" s="95" t="s">
        <v>16</v>
      </c>
      <c r="H11" s="95" t="s">
        <v>58</v>
      </c>
      <c r="I11" s="95" t="s">
        <v>26</v>
      </c>
      <c r="J11" s="89" t="s">
        <v>194</v>
      </c>
      <c r="K11" s="19"/>
      <c r="L11" s="19"/>
      <c r="M11" s="19"/>
      <c r="N11" s="20"/>
    </row>
    <row r="12" spans="1:14" ht="20.149999999999999" customHeight="1" x14ac:dyDescent="0.35">
      <c r="A12" s="90" t="s">
        <v>29</v>
      </c>
      <c r="B12" s="91">
        <v>71.873886711791954</v>
      </c>
      <c r="C12" s="91">
        <v>234.47334045837789</v>
      </c>
      <c r="D12" s="91">
        <v>167.23667022918897</v>
      </c>
      <c r="E12" s="91">
        <v>50.852036575228595</v>
      </c>
      <c r="F12" s="91">
        <v>2.6718916993231212</v>
      </c>
      <c r="G12" s="91">
        <v>28.50017812611329</v>
      </c>
      <c r="H12" s="91">
        <v>3.8852867830423947</v>
      </c>
      <c r="I12" s="91">
        <v>0.988006175038594</v>
      </c>
      <c r="J12" s="91">
        <v>560.4812967581048</v>
      </c>
      <c r="K12"/>
      <c r="L12"/>
      <c r="M12"/>
      <c r="N12"/>
    </row>
    <row r="13" spans="1:14" ht="20.149999999999999" customHeight="1" x14ac:dyDescent="0.35">
      <c r="A13" s="90" t="s">
        <v>20</v>
      </c>
      <c r="B13" s="91">
        <v>317.94687091794333</v>
      </c>
      <c r="C13" s="91">
        <v>0</v>
      </c>
      <c r="D13" s="91">
        <v>0.5842536515853225</v>
      </c>
      <c r="E13" s="91">
        <v>0</v>
      </c>
      <c r="F13" s="91">
        <v>42.192138700866892</v>
      </c>
      <c r="G13" s="91">
        <v>0</v>
      </c>
      <c r="H13" s="91">
        <v>0</v>
      </c>
      <c r="I13" s="91">
        <v>0</v>
      </c>
      <c r="J13" s="91">
        <v>360.72326327039553</v>
      </c>
      <c r="K13"/>
      <c r="L13"/>
      <c r="M13"/>
      <c r="N13"/>
    </row>
    <row r="14" spans="1:14" ht="20.149999999999999" customHeight="1" x14ac:dyDescent="0.35">
      <c r="A14" s="90" t="s">
        <v>194</v>
      </c>
      <c r="B14" s="91">
        <v>389.82075762973528</v>
      </c>
      <c r="C14" s="91">
        <v>234.47334045837789</v>
      </c>
      <c r="D14" s="91">
        <v>167.8209238807743</v>
      </c>
      <c r="E14" s="91">
        <v>50.852036575228595</v>
      </c>
      <c r="F14" s="91">
        <v>44.864030400190011</v>
      </c>
      <c r="G14" s="91">
        <v>28.50017812611329</v>
      </c>
      <c r="H14" s="91">
        <v>3.8852867830423947</v>
      </c>
      <c r="I14" s="91">
        <v>0.988006175038594</v>
      </c>
      <c r="J14" s="91">
        <v>921.20456002850028</v>
      </c>
      <c r="K14"/>
      <c r="L14"/>
      <c r="M14"/>
      <c r="N14"/>
    </row>
    <row r="15" spans="1:14" ht="20.149999999999999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0.149999999999999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2" ht="20.149999999999999" customHeight="1" x14ac:dyDescent="0.35">
      <c r="A17"/>
      <c r="B17"/>
    </row>
    <row r="18" spans="1:2" ht="20.149999999999999" customHeight="1" x14ac:dyDescent="0.35">
      <c r="A18"/>
      <c r="B18"/>
    </row>
    <row r="19" spans="1:2" ht="20.149999999999999" customHeight="1" x14ac:dyDescent="0.35">
      <c r="A19"/>
      <c r="B19"/>
    </row>
    <row r="20" spans="1:2" ht="20.149999999999999" customHeight="1" x14ac:dyDescent="0.35">
      <c r="A20"/>
      <c r="B20"/>
    </row>
    <row r="21" spans="1:2" ht="20.149999999999999" customHeight="1" x14ac:dyDescent="0.35">
      <c r="A21"/>
      <c r="B21"/>
    </row>
    <row r="22" spans="1:2" ht="20.149999999999999" customHeight="1" x14ac:dyDescent="0.35">
      <c r="A22"/>
      <c r="B22"/>
    </row>
    <row r="23" spans="1:2" ht="20.149999999999999" customHeight="1" x14ac:dyDescent="0.35">
      <c r="A23"/>
      <c r="B23"/>
    </row>
    <row r="24" spans="1:2" ht="20.149999999999999" customHeight="1" x14ac:dyDescent="0.35">
      <c r="A24"/>
      <c r="B24"/>
    </row>
    <row r="25" spans="1:2" ht="20.149999999999999" customHeight="1" x14ac:dyDescent="0.35">
      <c r="A25"/>
      <c r="B25"/>
    </row>
    <row r="26" spans="1:2" ht="20.149999999999999" customHeight="1" x14ac:dyDescent="0.35">
      <c r="A26"/>
      <c r="B26"/>
    </row>
    <row r="27" spans="1:2" ht="20.149999999999999" customHeight="1" x14ac:dyDescent="0.35">
      <c r="A27"/>
      <c r="B27"/>
    </row>
    <row r="28" spans="1:2" ht="20.149999999999999" customHeight="1" x14ac:dyDescent="0.35">
      <c r="A28"/>
      <c r="B28"/>
    </row>
    <row r="29" spans="1:2" ht="20.149999999999999" customHeight="1" x14ac:dyDescent="0.35">
      <c r="A29"/>
      <c r="B29"/>
    </row>
    <row r="30" spans="1:2" ht="20.149999999999999" customHeight="1" x14ac:dyDescent="0.35">
      <c r="A30"/>
      <c r="B30"/>
    </row>
    <row r="31" spans="1:2" ht="20.149999999999999" customHeight="1" x14ac:dyDescent="0.35">
      <c r="A31"/>
      <c r="B31"/>
    </row>
    <row r="32" spans="1:2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10D7-5392-4DDF-9802-75DF0EDED03C}">
  <dimension ref="A2:N40"/>
  <sheetViews>
    <sheetView showGridLines="0" workbookViewId="0">
      <selection activeCell="A3" sqref="A3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/>
      <c r="B2"/>
    </row>
    <row r="4" spans="1:14" ht="20.149999999999999" hidden="1" customHeight="1" x14ac:dyDescent="0.35">
      <c r="A4" s="86" t="s">
        <v>195</v>
      </c>
      <c r="B4" s="88" t="s">
        <v>192</v>
      </c>
      <c r="C4" s="87"/>
      <c r="D4" s="87"/>
      <c r="E4" s="87"/>
      <c r="F4" s="87"/>
      <c r="G4" s="87"/>
      <c r="H4" s="87"/>
      <c r="I4" s="87"/>
      <c r="J4" s="87"/>
      <c r="K4"/>
      <c r="L4"/>
      <c r="M4"/>
      <c r="N4"/>
    </row>
    <row r="5" spans="1:14" s="18" customFormat="1" ht="40" customHeight="1" x14ac:dyDescent="0.35">
      <c r="A5" s="96" t="s">
        <v>193</v>
      </c>
      <c r="B5" s="95" t="s">
        <v>16</v>
      </c>
      <c r="C5" s="95" t="s">
        <v>26</v>
      </c>
      <c r="D5" s="95" t="s">
        <v>35</v>
      </c>
      <c r="E5" s="95" t="s">
        <v>43</v>
      </c>
      <c r="F5" s="95" t="s">
        <v>50</v>
      </c>
      <c r="G5" s="95" t="s">
        <v>54</v>
      </c>
      <c r="H5" s="95" t="s">
        <v>62</v>
      </c>
      <c r="I5" s="95" t="s">
        <v>58</v>
      </c>
      <c r="J5" s="89" t="s">
        <v>194</v>
      </c>
      <c r="K5" s="19"/>
      <c r="L5" s="19"/>
      <c r="M5" s="19"/>
      <c r="N5" s="20"/>
    </row>
    <row r="6" spans="1:14" ht="20.149999999999999" customHeight="1" x14ac:dyDescent="0.35">
      <c r="A6" s="90" t="s">
        <v>104</v>
      </c>
      <c r="B6" s="98">
        <v>0</v>
      </c>
      <c r="C6" s="98">
        <v>0</v>
      </c>
      <c r="D6" s="98">
        <v>0</v>
      </c>
      <c r="E6" s="98">
        <v>1</v>
      </c>
      <c r="F6" s="98">
        <v>0</v>
      </c>
      <c r="G6" s="98">
        <v>0</v>
      </c>
      <c r="H6" s="98">
        <v>0</v>
      </c>
      <c r="I6" s="98">
        <v>0</v>
      </c>
      <c r="J6" s="99">
        <v>1</v>
      </c>
      <c r="K6"/>
      <c r="L6"/>
      <c r="M6"/>
      <c r="N6"/>
    </row>
    <row r="7" spans="1:14" ht="20.149999999999999" customHeight="1" x14ac:dyDescent="0.35">
      <c r="A7" s="90" t="s">
        <v>177</v>
      </c>
      <c r="B7" s="98">
        <v>1</v>
      </c>
      <c r="C7" s="98">
        <v>0</v>
      </c>
      <c r="D7" s="98">
        <v>0</v>
      </c>
      <c r="E7" s="98">
        <v>0</v>
      </c>
      <c r="F7" s="98">
        <v>0</v>
      </c>
      <c r="G7" s="98">
        <v>0</v>
      </c>
      <c r="H7" s="98">
        <v>0</v>
      </c>
      <c r="I7" s="98">
        <v>0</v>
      </c>
      <c r="J7" s="99">
        <v>1</v>
      </c>
      <c r="K7"/>
      <c r="L7"/>
      <c r="M7"/>
      <c r="N7"/>
    </row>
    <row r="8" spans="1:14" ht="20.149999999999999" customHeight="1" x14ac:dyDescent="0.35">
      <c r="A8" s="90" t="s">
        <v>38</v>
      </c>
      <c r="B8" s="98">
        <v>1</v>
      </c>
      <c r="C8" s="98">
        <v>1</v>
      </c>
      <c r="D8" s="98">
        <v>0</v>
      </c>
      <c r="E8" s="98">
        <v>1</v>
      </c>
      <c r="F8" s="98">
        <v>1</v>
      </c>
      <c r="G8" s="98">
        <v>3</v>
      </c>
      <c r="H8" s="98">
        <v>3</v>
      </c>
      <c r="I8" s="98">
        <v>0</v>
      </c>
      <c r="J8" s="99">
        <v>10</v>
      </c>
      <c r="K8"/>
      <c r="L8"/>
      <c r="M8"/>
      <c r="N8"/>
    </row>
    <row r="9" spans="1:14" ht="20.149999999999999" customHeight="1" x14ac:dyDescent="0.35">
      <c r="A9" s="90" t="s">
        <v>11</v>
      </c>
      <c r="B9" s="98">
        <v>0</v>
      </c>
      <c r="C9" s="98">
        <v>0</v>
      </c>
      <c r="D9" s="98">
        <v>0</v>
      </c>
      <c r="E9" s="98">
        <v>1</v>
      </c>
      <c r="F9" s="98">
        <v>0</v>
      </c>
      <c r="G9" s="98">
        <v>0</v>
      </c>
      <c r="H9" s="98">
        <v>4</v>
      </c>
      <c r="I9" s="98">
        <v>0</v>
      </c>
      <c r="J9" s="99">
        <v>5</v>
      </c>
      <c r="K9"/>
      <c r="L9"/>
      <c r="M9"/>
      <c r="N9"/>
    </row>
    <row r="10" spans="1:14" ht="20.149999999999999" customHeight="1" x14ac:dyDescent="0.35">
      <c r="A10" s="90" t="s">
        <v>103</v>
      </c>
      <c r="B10" s="98">
        <v>0</v>
      </c>
      <c r="C10" s="98">
        <v>0</v>
      </c>
      <c r="D10" s="98">
        <v>3</v>
      </c>
      <c r="E10" s="98">
        <v>0</v>
      </c>
      <c r="F10" s="98">
        <v>0</v>
      </c>
      <c r="G10" s="98">
        <v>0</v>
      </c>
      <c r="H10" s="98">
        <v>1</v>
      </c>
      <c r="I10" s="98">
        <v>0</v>
      </c>
      <c r="J10" s="99">
        <v>4</v>
      </c>
      <c r="K10"/>
      <c r="L10"/>
      <c r="M10"/>
      <c r="N10"/>
    </row>
    <row r="11" spans="1:14" ht="20.149999999999999" customHeight="1" x14ac:dyDescent="0.35">
      <c r="A11" s="90" t="s">
        <v>66</v>
      </c>
      <c r="B11" s="98">
        <v>0</v>
      </c>
      <c r="C11" s="98">
        <v>0</v>
      </c>
      <c r="D11" s="98">
        <v>0</v>
      </c>
      <c r="E11" s="98">
        <v>0</v>
      </c>
      <c r="F11" s="98">
        <v>1</v>
      </c>
      <c r="G11" s="98">
        <v>0</v>
      </c>
      <c r="H11" s="98">
        <v>7</v>
      </c>
      <c r="I11" s="98">
        <v>0</v>
      </c>
      <c r="J11" s="99">
        <v>8</v>
      </c>
      <c r="K11"/>
      <c r="L11"/>
      <c r="M11"/>
      <c r="N11"/>
    </row>
    <row r="12" spans="1:14" ht="20.149999999999999" customHeight="1" x14ac:dyDescent="0.35">
      <c r="A12" s="90" t="s">
        <v>63</v>
      </c>
      <c r="B12" s="98">
        <v>0</v>
      </c>
      <c r="C12" s="98">
        <v>0</v>
      </c>
      <c r="D12" s="98">
        <v>1</v>
      </c>
      <c r="E12" s="98">
        <v>0</v>
      </c>
      <c r="F12" s="98">
        <v>0</v>
      </c>
      <c r="G12" s="98">
        <v>0</v>
      </c>
      <c r="H12" s="98">
        <v>0</v>
      </c>
      <c r="I12" s="98">
        <v>1</v>
      </c>
      <c r="J12" s="99">
        <v>2</v>
      </c>
      <c r="K12"/>
      <c r="L12"/>
      <c r="M12"/>
      <c r="N12"/>
    </row>
    <row r="13" spans="1:14" ht="20.149999999999999" customHeight="1" x14ac:dyDescent="0.35">
      <c r="A13" s="90" t="s">
        <v>73</v>
      </c>
      <c r="B13" s="98">
        <v>0</v>
      </c>
      <c r="C13" s="98">
        <v>0</v>
      </c>
      <c r="D13" s="98">
        <v>0</v>
      </c>
      <c r="E13" s="98">
        <v>0</v>
      </c>
      <c r="F13" s="98">
        <v>0</v>
      </c>
      <c r="G13" s="98">
        <v>0</v>
      </c>
      <c r="H13" s="98">
        <v>1</v>
      </c>
      <c r="I13" s="98">
        <v>0</v>
      </c>
      <c r="J13" s="99">
        <v>1</v>
      </c>
      <c r="K13"/>
      <c r="L13"/>
      <c r="M13"/>
      <c r="N13"/>
    </row>
    <row r="14" spans="1:14" ht="20.149999999999999" customHeight="1" x14ac:dyDescent="0.35">
      <c r="A14" s="92" t="s">
        <v>77</v>
      </c>
      <c r="B14" s="98">
        <v>0</v>
      </c>
      <c r="C14" s="98">
        <v>0</v>
      </c>
      <c r="D14" s="98">
        <v>0</v>
      </c>
      <c r="E14" s="98">
        <v>0</v>
      </c>
      <c r="F14" s="98">
        <v>1</v>
      </c>
      <c r="G14" s="98">
        <v>0</v>
      </c>
      <c r="H14" s="98">
        <v>0</v>
      </c>
      <c r="I14" s="98">
        <v>0</v>
      </c>
      <c r="J14" s="98">
        <v>1</v>
      </c>
      <c r="K14"/>
      <c r="L14"/>
      <c r="M14"/>
      <c r="N14"/>
    </row>
    <row r="15" spans="1:14" ht="20.149999999999999" customHeight="1" x14ac:dyDescent="0.35">
      <c r="A15" s="92" t="s">
        <v>94</v>
      </c>
      <c r="B15" s="98">
        <v>0</v>
      </c>
      <c r="C15" s="98">
        <v>0</v>
      </c>
      <c r="D15" s="98">
        <v>0</v>
      </c>
      <c r="E15" s="98">
        <v>0</v>
      </c>
      <c r="F15" s="98">
        <v>1</v>
      </c>
      <c r="G15" s="98">
        <v>0</v>
      </c>
      <c r="H15" s="98">
        <v>0</v>
      </c>
      <c r="I15" s="98">
        <v>0</v>
      </c>
      <c r="J15" s="98">
        <v>1</v>
      </c>
      <c r="K15"/>
      <c r="L15"/>
      <c r="M15"/>
      <c r="N15"/>
    </row>
    <row r="16" spans="1:14" ht="20.149999999999999" customHeight="1" x14ac:dyDescent="0.35">
      <c r="A16" s="92" t="s">
        <v>81</v>
      </c>
      <c r="B16" s="98">
        <v>0</v>
      </c>
      <c r="C16" s="98">
        <v>0</v>
      </c>
      <c r="D16" s="98">
        <v>0</v>
      </c>
      <c r="E16" s="98">
        <v>0</v>
      </c>
      <c r="F16" s="98">
        <v>0</v>
      </c>
      <c r="G16" s="98">
        <v>2</v>
      </c>
      <c r="H16" s="98">
        <v>0</v>
      </c>
      <c r="I16" s="98">
        <v>0</v>
      </c>
      <c r="J16" s="98">
        <v>2</v>
      </c>
      <c r="K16"/>
      <c r="L16"/>
      <c r="M16"/>
      <c r="N16"/>
    </row>
    <row r="17" spans="1:14" ht="20.149999999999999" customHeight="1" x14ac:dyDescent="0.35">
      <c r="A17" s="92" t="s">
        <v>30</v>
      </c>
      <c r="B17" s="98">
        <v>1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1</v>
      </c>
      <c r="K17"/>
      <c r="L17"/>
      <c r="M17"/>
      <c r="N17"/>
    </row>
    <row r="18" spans="1:14" ht="20.149999999999999" customHeight="1" x14ac:dyDescent="0.35">
      <c r="A18" s="92" t="s">
        <v>197</v>
      </c>
      <c r="B18" s="98">
        <v>2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2</v>
      </c>
      <c r="K18"/>
      <c r="L18"/>
      <c r="M18"/>
      <c r="N18"/>
    </row>
    <row r="19" spans="1:14" ht="20.149999999999999" customHeight="1" x14ac:dyDescent="0.35">
      <c r="A19" s="92" t="s">
        <v>52</v>
      </c>
      <c r="B19" s="98">
        <v>0</v>
      </c>
      <c r="C19" s="98">
        <v>0</v>
      </c>
      <c r="D19" s="98">
        <v>0</v>
      </c>
      <c r="E19" s="98">
        <v>0</v>
      </c>
      <c r="F19" s="98">
        <v>1</v>
      </c>
      <c r="G19" s="98">
        <v>0</v>
      </c>
      <c r="H19" s="98">
        <v>0</v>
      </c>
      <c r="I19" s="98">
        <v>0</v>
      </c>
      <c r="J19" s="98">
        <v>1</v>
      </c>
      <c r="K19"/>
      <c r="L19"/>
      <c r="M19"/>
      <c r="N19"/>
    </row>
    <row r="20" spans="1:14" ht="20.149999999999999" customHeight="1" x14ac:dyDescent="0.35">
      <c r="A20" s="90" t="s">
        <v>194</v>
      </c>
      <c r="B20" s="98">
        <v>5</v>
      </c>
      <c r="C20" s="98">
        <v>1</v>
      </c>
      <c r="D20" s="98">
        <v>4</v>
      </c>
      <c r="E20" s="98">
        <v>3</v>
      </c>
      <c r="F20" s="98">
        <v>5</v>
      </c>
      <c r="G20" s="98">
        <v>5</v>
      </c>
      <c r="H20" s="98">
        <v>16</v>
      </c>
      <c r="I20" s="98">
        <v>1</v>
      </c>
      <c r="J20" s="98">
        <v>40</v>
      </c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6D91-3A38-4305-B56B-1FEC9A88B340}">
  <dimension ref="A2:N40"/>
  <sheetViews>
    <sheetView showGridLines="0" workbookViewId="0">
      <selection activeCell="A5" sqref="A5:H10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4" ht="20.149999999999999" customHeight="1" x14ac:dyDescent="0.35">
      <c r="A2"/>
      <c r="B2"/>
    </row>
    <row r="4" spans="1:14" ht="20.149999999999999" customHeight="1" x14ac:dyDescent="0.35">
      <c r="A4" s="86" t="s">
        <v>191</v>
      </c>
      <c r="B4" s="88" t="s">
        <v>192</v>
      </c>
      <c r="C4" s="87"/>
      <c r="D4" s="87"/>
      <c r="E4" s="87"/>
      <c r="F4" s="87"/>
      <c r="G4" s="87"/>
      <c r="H4" s="87"/>
      <c r="I4"/>
      <c r="J4"/>
      <c r="K4"/>
      <c r="L4"/>
      <c r="M4"/>
      <c r="N4"/>
    </row>
    <row r="5" spans="1:14" s="18" customFormat="1" ht="40" customHeight="1" x14ac:dyDescent="0.35">
      <c r="A5" s="88" t="s">
        <v>193</v>
      </c>
      <c r="B5" s="95" t="s">
        <v>16</v>
      </c>
      <c r="C5" s="95" t="s">
        <v>26</v>
      </c>
      <c r="D5" s="95" t="s">
        <v>35</v>
      </c>
      <c r="E5" s="95" t="s">
        <v>43</v>
      </c>
      <c r="F5" s="95" t="s">
        <v>50</v>
      </c>
      <c r="G5" s="95" t="s">
        <v>54</v>
      </c>
      <c r="H5" s="89" t="s">
        <v>194</v>
      </c>
      <c r="I5"/>
      <c r="J5"/>
      <c r="K5"/>
      <c r="L5"/>
      <c r="M5" s="19"/>
      <c r="N5" s="20"/>
    </row>
    <row r="6" spans="1:14" ht="20.149999999999999" customHeight="1" x14ac:dyDescent="0.35">
      <c r="A6" s="90" t="s">
        <v>12</v>
      </c>
      <c r="B6" s="91">
        <v>4.7500296876855481</v>
      </c>
      <c r="C6" s="91">
        <v>0</v>
      </c>
      <c r="D6" s="91">
        <v>211.13881961762263</v>
      </c>
      <c r="E6" s="91">
        <v>0</v>
      </c>
      <c r="F6" s="91">
        <v>0</v>
      </c>
      <c r="G6" s="91">
        <v>0.2280014250089063</v>
      </c>
      <c r="H6" s="100">
        <v>216.11685073031708</v>
      </c>
      <c r="I6"/>
      <c r="J6"/>
      <c r="K6"/>
      <c r="L6"/>
      <c r="M6"/>
      <c r="N6"/>
    </row>
    <row r="7" spans="1:14" ht="20.149999999999999" customHeight="1" x14ac:dyDescent="0.35">
      <c r="A7" s="90" t="s">
        <v>31</v>
      </c>
      <c r="B7" s="91">
        <v>23.750148438427743</v>
      </c>
      <c r="C7" s="91">
        <v>0</v>
      </c>
      <c r="D7" s="91">
        <v>0</v>
      </c>
      <c r="E7" s="91">
        <v>37.442109013181337</v>
      </c>
      <c r="F7" s="91">
        <v>14.87056169101057</v>
      </c>
      <c r="G7" s="91">
        <v>129.83018643866527</v>
      </c>
      <c r="H7" s="100">
        <v>205.89300558128491</v>
      </c>
      <c r="I7"/>
      <c r="J7"/>
      <c r="K7"/>
      <c r="L7"/>
      <c r="M7"/>
      <c r="N7"/>
    </row>
    <row r="8" spans="1:14" ht="20.149999999999999" customHeight="1" x14ac:dyDescent="0.35">
      <c r="A8" s="90" t="s">
        <v>47</v>
      </c>
      <c r="B8" s="91">
        <v>0</v>
      </c>
      <c r="C8" s="91">
        <v>0.988006175038594</v>
      </c>
      <c r="D8" s="91">
        <v>23.334520840755257</v>
      </c>
      <c r="E8" s="91">
        <v>0</v>
      </c>
      <c r="F8" s="91">
        <v>35.981474884218031</v>
      </c>
      <c r="G8" s="91">
        <v>37.406483790523694</v>
      </c>
      <c r="H8" s="100">
        <v>97.710485690535577</v>
      </c>
      <c r="I8"/>
      <c r="J8"/>
      <c r="K8"/>
      <c r="L8"/>
      <c r="M8"/>
      <c r="N8"/>
    </row>
    <row r="9" spans="1:14" ht="20.149999999999999" customHeight="1" x14ac:dyDescent="0.35">
      <c r="A9" s="90" t="s">
        <v>22</v>
      </c>
      <c r="B9" s="91">
        <v>0</v>
      </c>
      <c r="C9" s="91">
        <v>0</v>
      </c>
      <c r="D9" s="91">
        <v>0</v>
      </c>
      <c r="E9" s="91">
        <v>7.4219213870086698</v>
      </c>
      <c r="F9" s="91">
        <v>0</v>
      </c>
      <c r="G9" s="91">
        <v>0.3562522265764162</v>
      </c>
      <c r="H9" s="100">
        <v>7.7781736135850856</v>
      </c>
      <c r="I9"/>
      <c r="J9"/>
      <c r="K9"/>
      <c r="L9"/>
      <c r="M9"/>
      <c r="N9"/>
    </row>
    <row r="10" spans="1:14" ht="20.149999999999999" customHeight="1" x14ac:dyDescent="0.35">
      <c r="A10" s="90" t="s">
        <v>194</v>
      </c>
      <c r="B10" s="91">
        <v>28.50017812611329</v>
      </c>
      <c r="C10" s="91">
        <v>0.988006175038594</v>
      </c>
      <c r="D10" s="91">
        <v>234.47334045837789</v>
      </c>
      <c r="E10" s="91">
        <v>44.864030400190003</v>
      </c>
      <c r="F10" s="91">
        <v>50.852036575228603</v>
      </c>
      <c r="G10" s="91">
        <v>167.8209238807743</v>
      </c>
      <c r="H10" s="91">
        <v>527.49851561572268</v>
      </c>
      <c r="I10"/>
      <c r="J10"/>
      <c r="K10"/>
      <c r="L10"/>
      <c r="M10"/>
      <c r="N10"/>
    </row>
    <row r="11" spans="1:14" ht="20.149999999999999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20.149999999999999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20.149999999999999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20.149999999999999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ht="20.149999999999999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0.149999999999999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20.149999999999999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20.149999999999999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0.149999999999999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20.149999999999999" customHeight="1" x14ac:dyDescent="0.35">
      <c r="A20"/>
      <c r="B20"/>
      <c r="C20"/>
      <c r="D20"/>
      <c r="E20"/>
      <c r="F20"/>
      <c r="G20"/>
      <c r="H20"/>
      <c r="I20"/>
    </row>
    <row r="21" spans="1:14" ht="20.149999999999999" customHeight="1" x14ac:dyDescent="0.35">
      <c r="A21"/>
      <c r="B21"/>
    </row>
    <row r="22" spans="1:14" ht="20.149999999999999" customHeight="1" x14ac:dyDescent="0.35">
      <c r="A22"/>
      <c r="B22"/>
    </row>
    <row r="23" spans="1:14" ht="20.149999999999999" customHeight="1" x14ac:dyDescent="0.35">
      <c r="A23"/>
      <c r="B23"/>
    </row>
    <row r="24" spans="1:14" ht="20.149999999999999" customHeight="1" x14ac:dyDescent="0.35">
      <c r="A24"/>
      <c r="B24"/>
    </row>
    <row r="25" spans="1:14" ht="20.149999999999999" customHeight="1" x14ac:dyDescent="0.35">
      <c r="A25"/>
      <c r="B25"/>
    </row>
    <row r="26" spans="1:14" ht="20.149999999999999" customHeight="1" x14ac:dyDescent="0.35">
      <c r="A26"/>
      <c r="B26"/>
    </row>
    <row r="27" spans="1:14" ht="20.149999999999999" customHeight="1" x14ac:dyDescent="0.35">
      <c r="A27"/>
      <c r="B27"/>
    </row>
    <row r="28" spans="1:14" ht="20.149999999999999" customHeight="1" x14ac:dyDescent="0.35">
      <c r="A28"/>
      <c r="B28"/>
    </row>
    <row r="29" spans="1:14" ht="20.149999999999999" customHeight="1" x14ac:dyDescent="0.35">
      <c r="A29"/>
      <c r="B29"/>
    </row>
    <row r="30" spans="1:14" ht="20.149999999999999" customHeight="1" x14ac:dyDescent="0.35">
      <c r="A30"/>
      <c r="B30"/>
    </row>
    <row r="31" spans="1:14" ht="20.149999999999999" customHeight="1" x14ac:dyDescent="0.35">
      <c r="A31"/>
      <c r="B31"/>
    </row>
    <row r="32" spans="1:14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2373-961E-4051-AFF3-DF722EBEBE46}">
  <dimension ref="A2:O40"/>
  <sheetViews>
    <sheetView showGridLines="0" workbookViewId="0">
      <selection activeCell="F7" sqref="F7"/>
    </sheetView>
  </sheetViews>
  <sheetFormatPr defaultColWidth="8.7265625" defaultRowHeight="20.149999999999999" customHeight="1" x14ac:dyDescent="0.35"/>
  <cols>
    <col min="1" max="1" width="21.54296875" style="3" customWidth="1"/>
    <col min="2" max="13" width="11.54296875" style="3" customWidth="1"/>
    <col min="14" max="14" width="10.81640625" style="3" bestFit="1" customWidth="1"/>
    <col min="15" max="16384" width="8.7265625" style="3"/>
  </cols>
  <sheetData>
    <row r="2" spans="1:15" ht="20.149999999999999" customHeight="1" x14ac:dyDescent="0.35">
      <c r="A2" s="88" t="s">
        <v>107</v>
      </c>
      <c r="B2" s="87" t="s">
        <v>190</v>
      </c>
    </row>
    <row r="4" spans="1:15" ht="20.149999999999999" hidden="1" customHeight="1" x14ac:dyDescent="0.35">
      <c r="A4" s="86" t="s">
        <v>191</v>
      </c>
      <c r="B4" s="86" t="s">
        <v>192</v>
      </c>
      <c r="C4" s="87"/>
      <c r="D4" s="87"/>
      <c r="E4"/>
      <c r="F4"/>
      <c r="G4"/>
      <c r="H4"/>
      <c r="I4"/>
      <c r="J4"/>
      <c r="K4"/>
      <c r="L4"/>
      <c r="M4"/>
      <c r="N4"/>
      <c r="O4"/>
    </row>
    <row r="5" spans="1:15" s="18" customFormat="1" ht="40" customHeight="1" x14ac:dyDescent="0.35">
      <c r="A5" s="96" t="s">
        <v>193</v>
      </c>
      <c r="B5" s="95" t="s">
        <v>34</v>
      </c>
      <c r="C5" s="95" t="s">
        <v>15</v>
      </c>
      <c r="D5" s="89" t="s">
        <v>194</v>
      </c>
      <c r="E5"/>
      <c r="F5"/>
      <c r="G5"/>
      <c r="H5"/>
      <c r="I5"/>
      <c r="J5"/>
      <c r="K5"/>
      <c r="L5"/>
      <c r="M5"/>
      <c r="N5"/>
      <c r="O5"/>
    </row>
    <row r="6" spans="1:15" ht="20.149999999999999" customHeight="1" x14ac:dyDescent="0.35">
      <c r="A6" s="90" t="s">
        <v>103</v>
      </c>
      <c r="B6" s="91">
        <v>18.097613110081941</v>
      </c>
      <c r="C6" s="91">
        <v>211.13881961762263</v>
      </c>
      <c r="D6" s="93">
        <v>229.23643272770457</v>
      </c>
      <c r="E6"/>
      <c r="F6"/>
      <c r="G6"/>
      <c r="H6"/>
      <c r="I6"/>
      <c r="J6"/>
      <c r="K6"/>
      <c r="L6"/>
      <c r="M6"/>
      <c r="N6"/>
      <c r="O6"/>
    </row>
    <row r="7" spans="1:15" ht="20.149999999999999" customHeight="1" x14ac:dyDescent="0.35">
      <c r="A7" s="90" t="s">
        <v>38</v>
      </c>
      <c r="B7" s="91">
        <v>214.53746585916167</v>
      </c>
      <c r="C7" s="91">
        <v>7.4219213870086698</v>
      </c>
      <c r="D7" s="93">
        <v>221.95938724617034</v>
      </c>
      <c r="E7"/>
      <c r="F7"/>
      <c r="G7"/>
      <c r="H7"/>
      <c r="I7"/>
      <c r="J7"/>
      <c r="K7"/>
      <c r="L7"/>
      <c r="M7"/>
      <c r="N7"/>
      <c r="O7"/>
    </row>
    <row r="8" spans="1:15" ht="20.149999999999999" customHeight="1" x14ac:dyDescent="0.35">
      <c r="A8" s="90" t="s">
        <v>11</v>
      </c>
      <c r="B8" s="91">
        <v>34.770217313858218</v>
      </c>
      <c r="C8" s="91">
        <v>0</v>
      </c>
      <c r="D8" s="93">
        <v>34.770217313858218</v>
      </c>
      <c r="E8"/>
      <c r="F8"/>
      <c r="G8"/>
      <c r="H8"/>
      <c r="I8"/>
      <c r="J8"/>
      <c r="K8"/>
      <c r="L8"/>
      <c r="M8"/>
      <c r="N8"/>
      <c r="O8"/>
    </row>
    <row r="9" spans="1:15" ht="20.149999999999999" customHeight="1" x14ac:dyDescent="0.35">
      <c r="A9" s="90" t="s">
        <v>52</v>
      </c>
      <c r="B9" s="91">
        <v>14.250089063056645</v>
      </c>
      <c r="C9" s="91">
        <v>0</v>
      </c>
      <c r="D9" s="93">
        <v>14.250089063056645</v>
      </c>
      <c r="E9"/>
      <c r="F9"/>
      <c r="G9"/>
      <c r="H9"/>
      <c r="I9"/>
      <c r="J9"/>
      <c r="K9"/>
      <c r="L9"/>
      <c r="M9"/>
      <c r="N9"/>
      <c r="O9"/>
    </row>
    <row r="10" spans="1:15" ht="20.149999999999999" customHeight="1" x14ac:dyDescent="0.35">
      <c r="A10" s="90" t="s">
        <v>66</v>
      </c>
      <c r="B10" s="91">
        <v>10.450065312908206</v>
      </c>
      <c r="C10" s="91">
        <v>0</v>
      </c>
      <c r="D10" s="93">
        <v>10.450065312908206</v>
      </c>
      <c r="E10"/>
      <c r="F10"/>
      <c r="G10"/>
      <c r="H10"/>
      <c r="I10"/>
      <c r="J10"/>
      <c r="K10"/>
      <c r="L10"/>
      <c r="M10"/>
      <c r="N10"/>
      <c r="O10"/>
    </row>
    <row r="11" spans="1:15" ht="20.149999999999999" customHeight="1" x14ac:dyDescent="0.35">
      <c r="A11" s="90" t="s">
        <v>63</v>
      </c>
      <c r="B11" s="91">
        <v>5.2369077306733169</v>
      </c>
      <c r="C11" s="91">
        <v>0</v>
      </c>
      <c r="D11" s="93">
        <v>5.2369077306733169</v>
      </c>
      <c r="E11"/>
      <c r="F11"/>
      <c r="G11"/>
      <c r="H11"/>
      <c r="I11"/>
      <c r="J11"/>
      <c r="K11"/>
      <c r="L11"/>
      <c r="M11"/>
      <c r="N11"/>
      <c r="O11"/>
    </row>
    <row r="12" spans="1:15" ht="20.149999999999999" customHeight="1" x14ac:dyDescent="0.35">
      <c r="A12" s="90" t="s">
        <v>30</v>
      </c>
      <c r="B12" s="91">
        <v>0</v>
      </c>
      <c r="C12" s="91">
        <v>4.7500296876855481</v>
      </c>
      <c r="D12" s="93">
        <v>4.7500296876855481</v>
      </c>
      <c r="E12"/>
      <c r="F12"/>
      <c r="G12"/>
      <c r="H12"/>
      <c r="I12"/>
      <c r="J12"/>
      <c r="K12"/>
      <c r="L12"/>
      <c r="M12"/>
      <c r="N12"/>
      <c r="O12"/>
    </row>
    <row r="13" spans="1:15" ht="20.149999999999999" customHeight="1" x14ac:dyDescent="0.35">
      <c r="A13" s="90" t="s">
        <v>77</v>
      </c>
      <c r="B13" s="91">
        <v>2.9687685548034679</v>
      </c>
      <c r="C13" s="91">
        <v>0</v>
      </c>
      <c r="D13" s="93">
        <v>2.9687685548034679</v>
      </c>
      <c r="E13"/>
      <c r="F13"/>
      <c r="G13"/>
      <c r="H13"/>
      <c r="I13"/>
      <c r="J13"/>
      <c r="K13"/>
      <c r="L13"/>
      <c r="M13"/>
      <c r="N13"/>
      <c r="O13"/>
    </row>
    <row r="14" spans="1:15" ht="20.149999999999999" customHeight="1" x14ac:dyDescent="0.35">
      <c r="A14" s="90" t="s">
        <v>104</v>
      </c>
      <c r="B14" s="91">
        <v>2.6718916993231212</v>
      </c>
      <c r="C14" s="91">
        <v>0</v>
      </c>
      <c r="D14" s="93">
        <v>2.6718916993231212</v>
      </c>
      <c r="E14"/>
      <c r="F14"/>
      <c r="G14"/>
      <c r="H14"/>
      <c r="I14"/>
      <c r="J14"/>
      <c r="K14"/>
      <c r="L14"/>
      <c r="M14"/>
      <c r="N14"/>
      <c r="O14"/>
    </row>
    <row r="15" spans="1:15" ht="20.149999999999999" customHeight="1" x14ac:dyDescent="0.35">
      <c r="A15" s="90" t="s">
        <v>94</v>
      </c>
      <c r="B15" s="91">
        <v>0.62047262795392477</v>
      </c>
      <c r="C15" s="91">
        <v>0</v>
      </c>
      <c r="D15" s="93">
        <v>0.62047262795392477</v>
      </c>
      <c r="E15"/>
      <c r="F15"/>
      <c r="G15"/>
      <c r="H15"/>
      <c r="I15"/>
      <c r="J15"/>
      <c r="K15"/>
      <c r="L15"/>
      <c r="M15"/>
      <c r="N15"/>
      <c r="O15"/>
    </row>
    <row r="16" spans="1:15" ht="20.149999999999999" customHeight="1" x14ac:dyDescent="0.35">
      <c r="A16" s="90" t="s">
        <v>81</v>
      </c>
      <c r="B16" s="91">
        <v>0</v>
      </c>
      <c r="C16" s="91">
        <v>0.5842536515853225</v>
      </c>
      <c r="D16" s="93">
        <v>0.5842536515853225</v>
      </c>
      <c r="E16"/>
      <c r="F16"/>
      <c r="G16"/>
      <c r="H16"/>
      <c r="I16"/>
      <c r="J16"/>
      <c r="K16"/>
      <c r="L16"/>
      <c r="M16"/>
      <c r="N16"/>
      <c r="O16"/>
    </row>
    <row r="17" spans="1:15" ht="20.149999999999999" customHeight="1" x14ac:dyDescent="0.35">
      <c r="A17" s="90" t="s">
        <v>194</v>
      </c>
      <c r="B17" s="91">
        <v>303.60349127182047</v>
      </c>
      <c r="C17" s="91">
        <v>223.89502434390218</v>
      </c>
      <c r="D17" s="91">
        <v>527.49851561572268</v>
      </c>
      <c r="E17"/>
      <c r="F17"/>
      <c r="G17"/>
      <c r="H17"/>
      <c r="I17"/>
      <c r="J17"/>
      <c r="K17"/>
      <c r="L17"/>
      <c r="M17"/>
      <c r="N17"/>
      <c r="O17"/>
    </row>
    <row r="18" spans="1:15" ht="20.149999999999999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20.149999999999999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20.149999999999999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20.149999999999999" customHeight="1" x14ac:dyDescent="0.35">
      <c r="A21"/>
      <c r="B21"/>
    </row>
    <row r="22" spans="1:15" ht="20.149999999999999" customHeight="1" x14ac:dyDescent="0.35">
      <c r="A22"/>
      <c r="B22"/>
    </row>
    <row r="23" spans="1:15" ht="20.149999999999999" customHeight="1" x14ac:dyDescent="0.35">
      <c r="A23"/>
      <c r="B23"/>
    </row>
    <row r="24" spans="1:15" ht="20.149999999999999" customHeight="1" x14ac:dyDescent="0.35">
      <c r="A24"/>
      <c r="B24"/>
    </row>
    <row r="25" spans="1:15" ht="20.149999999999999" customHeight="1" x14ac:dyDescent="0.35">
      <c r="A25"/>
      <c r="B25"/>
    </row>
    <row r="26" spans="1:15" ht="20.149999999999999" customHeight="1" x14ac:dyDescent="0.35">
      <c r="A26"/>
      <c r="B26"/>
    </row>
    <row r="27" spans="1:15" ht="20.149999999999999" customHeight="1" x14ac:dyDescent="0.35">
      <c r="A27"/>
      <c r="B27"/>
    </row>
    <row r="28" spans="1:15" ht="20.149999999999999" customHeight="1" x14ac:dyDescent="0.35">
      <c r="A28"/>
      <c r="B28"/>
    </row>
    <row r="29" spans="1:15" ht="20.149999999999999" customHeight="1" x14ac:dyDescent="0.35">
      <c r="A29"/>
      <c r="B29"/>
    </row>
    <row r="30" spans="1:15" ht="20.149999999999999" customHeight="1" x14ac:dyDescent="0.35">
      <c r="A30"/>
      <c r="B30"/>
    </row>
    <row r="31" spans="1:15" ht="20.149999999999999" customHeight="1" x14ac:dyDescent="0.35">
      <c r="A31"/>
      <c r="B31"/>
    </row>
    <row r="32" spans="1:15" ht="20.149999999999999" customHeight="1" x14ac:dyDescent="0.35">
      <c r="A32"/>
      <c r="B32"/>
    </row>
    <row r="33" spans="1:2" ht="20.149999999999999" customHeight="1" x14ac:dyDescent="0.35">
      <c r="A33"/>
      <c r="B33"/>
    </row>
    <row r="34" spans="1:2" ht="20.149999999999999" customHeight="1" x14ac:dyDescent="0.35">
      <c r="A34"/>
      <c r="B34"/>
    </row>
    <row r="35" spans="1:2" ht="20.149999999999999" customHeight="1" x14ac:dyDescent="0.35">
      <c r="A35"/>
      <c r="B35"/>
    </row>
    <row r="36" spans="1:2" ht="20.149999999999999" customHeight="1" x14ac:dyDescent="0.35">
      <c r="A36"/>
      <c r="B36"/>
    </row>
    <row r="37" spans="1:2" ht="20.149999999999999" customHeight="1" x14ac:dyDescent="0.35">
      <c r="A37"/>
      <c r="B37"/>
    </row>
    <row r="38" spans="1:2" ht="20.149999999999999" customHeight="1" x14ac:dyDescent="0.35">
      <c r="A38"/>
      <c r="B38"/>
    </row>
    <row r="39" spans="1:2" ht="20.149999999999999" customHeight="1" x14ac:dyDescent="0.35">
      <c r="A39"/>
      <c r="B39"/>
    </row>
    <row r="40" spans="1:2" ht="20.149999999999999" customHeight="1" x14ac:dyDescent="0.35">
      <c r="A40"/>
      <c r="B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041DA1AA0EB49ACCFB4342C1D91F1" ma:contentTypeVersion="9" ma:contentTypeDescription="Create a new document." ma:contentTypeScope="" ma:versionID="e98b2613c3a4ebe5ff2f36f6065292a2">
  <xsd:schema xmlns:xsd="http://www.w3.org/2001/XMLSchema" xmlns:xs="http://www.w3.org/2001/XMLSchema" xmlns:p="http://schemas.microsoft.com/office/2006/metadata/properties" xmlns:ns2="20ca4865-c986-42b9-b87b-088b1f44c0af" targetNamespace="http://schemas.microsoft.com/office/2006/metadata/properties" ma:root="true" ma:fieldsID="f2769fdc2121858e945ca17715704e8b" ns2:_="">
    <xsd:import namespace="20ca4865-c986-42b9-b87b-088b1f44c0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a4865-c986-42b9-b87b-088b1f44c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B3BFB-D9C7-4039-966F-7339A6016098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20ca4865-c986-42b9-b87b-088b1f44c0af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2EB566B-3FD6-47A8-B9DF-B6340EE930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5BBE8-F7A5-4BD4-B3CE-BE1E4EFE8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ca4865-c986-42b9-b87b-088b1f44c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Drop down menu</vt:lpstr>
      <vt:lpstr>Opportunity stage</vt:lpstr>
      <vt:lpstr>OE Opportunities</vt:lpstr>
      <vt:lpstr>Category wise</vt:lpstr>
      <vt:lpstr>Subcategory wise</vt:lpstr>
      <vt:lpstr>Confidence level</vt:lpstr>
      <vt:lpstr>BU wise</vt:lpstr>
      <vt:lpstr>Stage wise</vt:lpstr>
      <vt:lpstr>Customer wise</vt:lpstr>
      <vt:lpstr>Team members</vt:lpstr>
      <vt:lpstr>Opportunity count</vt:lpstr>
      <vt:lpstr>Customer wise (2)</vt:lpstr>
      <vt:lpstr>Subcategory wise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Aniket Kulkarni</dc:creator>
  <cp:keywords/>
  <dc:description/>
  <cp:lastModifiedBy>Aniket Kulkarni</cp:lastModifiedBy>
  <cp:revision/>
  <dcterms:created xsi:type="dcterms:W3CDTF">2024-02-28T07:02:52Z</dcterms:created>
  <dcterms:modified xsi:type="dcterms:W3CDTF">2026-04-17T06:13:34Z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0x01010054D041DA1AA0EB49ACCFB4342C1D91F1</vt:lpwstr>
  </property>
</Properties>
</file>